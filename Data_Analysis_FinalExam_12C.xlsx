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0" autoFilterDateGrouping="1"/>
  </bookViews>
  <sheets>
    <sheet xmlns:r="http://schemas.openxmlformats.org/officeDocument/2006/relationships" name="S2_FinalExam_Analysis_12C" sheetId="1" state="visible" r:id="rId1"/>
  </sheets>
  <definedNames>
    <definedName name="_xlnm._FilterDatabase" localSheetId="0" hidden="1">'S2_FinalExam_Analysis_12C'!$B$5:$D$5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0"/>
      <sz val="10"/>
      <scheme val="minor"/>
    </font>
    <font>
      <name val="Calibri"/>
      <family val="2"/>
      <color rgb="FFFF0000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1"/>
      <sz val="11"/>
      <u val="single"/>
      <scheme val="minor"/>
    </font>
    <font>
      <name val="Calibri"/>
      <family val="2"/>
      <color rgb="FF000000"/>
      <sz val="12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3"/>
      <scheme val="minor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B24CFF"/>
        <bgColor indexed="64"/>
      </patternFill>
    </fill>
    <fill>
      <patternFill patternType="solid">
        <fgColor rgb="FF1166F0"/>
        <bgColor indexed="64"/>
      </patternFill>
    </fill>
    <fill>
      <patternFill patternType="solid">
        <fgColor rgb="FFF8000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 style="thin">
        <color auto="1"/>
      </left>
      <right/>
      <top style="medium">
        <color theme="1"/>
      </top>
      <bottom style="thin">
        <color theme="1"/>
      </bottom>
      <diagonal/>
    </border>
    <border>
      <left style="thin">
        <color indexed="64"/>
      </left>
      <right style="thin">
        <color auto="1"/>
      </right>
      <top style="medium">
        <color theme="1"/>
      </top>
      <bottom style="thin">
        <color theme="1"/>
      </bottom>
      <diagonal/>
    </border>
    <border>
      <left/>
      <right style="medium">
        <color theme="1"/>
      </right>
      <top style="thin">
        <color auto="1"/>
      </top>
      <bottom style="thin">
        <color auto="1"/>
      </bottom>
      <diagonal/>
    </border>
    <border>
      <left/>
      <right style="medium">
        <color theme="1"/>
      </right>
      <top style="thin">
        <color auto="1"/>
      </top>
      <bottom style="medium">
        <color theme="1"/>
      </bottom>
      <diagonal/>
    </border>
    <border>
      <left style="medium">
        <color auto="1"/>
      </left>
      <right/>
      <top style="thin">
        <color theme="1"/>
      </top>
      <bottom style="thin">
        <color auto="1"/>
      </bottom>
      <diagonal/>
    </border>
    <border>
      <left/>
      <right style="medium">
        <color theme="1"/>
      </right>
      <top style="thin">
        <color theme="1"/>
      </top>
      <bottom style="thin">
        <color auto="1"/>
      </bottom>
      <diagonal/>
    </border>
    <border>
      <left style="thin">
        <color theme="1"/>
      </left>
      <right style="thin">
        <color auto="1"/>
      </right>
      <top style="thin">
        <color theme="1"/>
      </top>
      <bottom style="thin">
        <color auto="1"/>
      </bottom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medium">
        <color theme="1"/>
      </right>
      <top style="medium">
        <color auto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theme="1"/>
      </left>
      <right style="thin">
        <color auto="1"/>
      </right>
      <top style="medium">
        <color theme="1"/>
      </top>
      <bottom style="thin">
        <color auto="1"/>
      </bottom>
      <diagonal/>
    </border>
    <border>
      <left/>
      <right/>
      <top style="medium">
        <color theme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medium">
        <color theme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/>
      <top style="thin">
        <color auto="1"/>
      </top>
      <bottom style="medium">
        <color theme="1"/>
      </bottom>
      <diagonal/>
    </border>
    <border>
      <left/>
      <right/>
      <top style="thin">
        <color auto="1"/>
      </top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theme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/>
      <right style="medium">
        <color theme="1"/>
      </right>
      <top style="thin">
        <color auto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/>
      <right/>
      <top style="medium">
        <color theme="1"/>
      </top>
      <bottom/>
      <diagonal/>
    </border>
    <border>
      <left/>
      <right style="thin">
        <color auto="1"/>
      </right>
      <top style="medium">
        <color theme="1"/>
      </top>
      <bottom/>
      <diagonal/>
    </border>
    <border>
      <left/>
      <right style="thin">
        <color auto="1"/>
      </right>
      <top style="medium">
        <color theme="1"/>
      </top>
      <bottom style="thin">
        <color auto="1"/>
      </bottom>
      <diagonal/>
    </border>
  </borders>
  <cellStyleXfs count="4">
    <xf numFmtId="0" fontId="2" fillId="0" borderId="0"/>
    <xf numFmtId="9" fontId="2" fillId="0" borderId="0"/>
    <xf numFmtId="0" fontId="12" fillId="0" borderId="0"/>
    <xf numFmtId="0" fontId="13" fillId="0" borderId="0"/>
  </cellStyleXfs>
  <cellXfs count="137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9" fontId="7" fillId="0" borderId="0" pivotButton="0" quotePrefix="0" xfId="1"/>
    <xf numFmtId="0" fontId="11" fillId="0" borderId="0" applyAlignment="1" pivotButton="0" quotePrefix="0" xfId="0">
      <alignment vertical="center" textRotation="90"/>
    </xf>
    <xf numFmtId="0" fontId="11" fillId="0" borderId="0" applyAlignment="1" pivotButton="0" quotePrefix="0" xfId="0">
      <alignment horizontal="center" vertical="center" textRotation="90" wrapText="1"/>
    </xf>
    <xf numFmtId="0" fontId="5" fillId="0" borderId="0" applyAlignment="1" applyProtection="1" pivotButton="0" quotePrefix="0" xfId="0">
      <alignment horizontal="center" vertical="center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4" fillId="0" borderId="0" applyAlignment="1" pivotButton="0" quotePrefix="0" xfId="0">
      <alignment horizontal="center" vertical="center"/>
    </xf>
    <xf numFmtId="0" fontId="5" fillId="0" borderId="8" applyAlignment="1" applyProtection="1" pivotButton="0" quotePrefix="0" xfId="0">
      <alignment horizontal="left" vertical="center"/>
      <protection locked="0" hidden="0"/>
    </xf>
    <xf numFmtId="0" fontId="8" fillId="0" borderId="8" applyAlignment="1" pivotButton="0" quotePrefix="0" xfId="0">
      <alignment horizontal="center" vertical="center"/>
    </xf>
    <xf numFmtId="1" fontId="0" fillId="0" borderId="8" applyAlignment="1" pivotButton="0" quotePrefix="0" xfId="1">
      <alignment horizontal="center"/>
    </xf>
    <xf numFmtId="9" fontId="0" fillId="0" borderId="8" applyAlignment="1" pivotButton="0" quotePrefix="0" xfId="1">
      <alignment horizontal="center"/>
    </xf>
    <xf numFmtId="2" fontId="7" fillId="0" borderId="0" applyAlignment="1" pivotButton="0" quotePrefix="0" xfId="1">
      <alignment horizontal="center"/>
    </xf>
    <xf numFmtId="0" fontId="8" fillId="3" borderId="4" applyAlignment="1" applyProtection="1" pivotButton="0" quotePrefix="0" xfId="0">
      <alignment vertical="top"/>
      <protection locked="0" hidden="0"/>
    </xf>
    <xf numFmtId="0" fontId="8" fillId="3" borderId="0" applyAlignment="1" applyProtection="1" pivotButton="0" quotePrefix="0" xfId="0">
      <alignment vertical="top"/>
      <protection locked="0" hidden="0"/>
    </xf>
    <xf numFmtId="0" fontId="8" fillId="3" borderId="6" applyAlignment="1" applyProtection="1" pivotButton="0" quotePrefix="0" xfId="0">
      <alignment horizontal="left" vertical="top"/>
      <protection locked="0" hidden="0"/>
    </xf>
    <xf numFmtId="0" fontId="8" fillId="3" borderId="7" applyAlignment="1" applyProtection="1" pivotButton="0" quotePrefix="0" xfId="0">
      <alignment horizontal="left" vertical="top"/>
      <protection locked="0" hidden="0"/>
    </xf>
    <xf numFmtId="0" fontId="5" fillId="0" borderId="0" applyProtection="1" pivotButton="0" quotePrefix="0" xfId="0">
      <protection locked="0" hidden="0"/>
    </xf>
    <xf numFmtId="0" fontId="7" fillId="0" borderId="0" applyProtection="1" pivotButton="0" quotePrefix="0" xfId="0">
      <protection locked="0" hidden="0"/>
    </xf>
    <xf numFmtId="0" fontId="4" fillId="2" borderId="0" applyAlignment="1" applyProtection="1" pivotButton="0" quotePrefix="0" xfId="0">
      <alignment horizontal="center" vertical="center"/>
      <protection locked="0" hidden="0"/>
    </xf>
    <xf numFmtId="0" fontId="4" fillId="2" borderId="0" applyAlignment="1" pivotButton="0" quotePrefix="0" xfId="0">
      <alignment horizontal="center" vertical="center"/>
    </xf>
    <xf numFmtId="0" fontId="5" fillId="2" borderId="0" pivotButton="0" quotePrefix="0" xfId="0"/>
    <xf numFmtId="9" fontId="5" fillId="2" borderId="0" applyAlignment="1" applyProtection="1" pivotButton="0" quotePrefix="0" xfId="1">
      <alignment horizontal="center" vertical="center"/>
      <protection locked="0" hidden="0"/>
    </xf>
    <xf numFmtId="9" fontId="5" fillId="2" borderId="0" applyAlignment="1" pivotButton="0" quotePrefix="0" xfId="1">
      <alignment horizontal="center" vertical="center"/>
    </xf>
    <xf numFmtId="0" fontId="7" fillId="2" borderId="0" pivotButton="0" quotePrefix="0" xfId="0"/>
    <xf numFmtId="0" fontId="5" fillId="2" borderId="8" applyAlignment="1" applyProtection="1" pivotButton="0" quotePrefix="0" xfId="0">
      <alignment horizontal="center" vertical="center"/>
      <protection locked="0" hidden="0"/>
    </xf>
    <xf numFmtId="0" fontId="5" fillId="2" borderId="9" applyAlignment="1" applyProtection="1" pivotButton="0" quotePrefix="0" xfId="0">
      <alignment horizontal="center" vertical="center"/>
      <protection locked="0" hidden="0"/>
    </xf>
    <xf numFmtId="0" fontId="5" fillId="2" borderId="0" applyAlignment="1" applyProtection="1" pivotButton="0" quotePrefix="0" xfId="0">
      <alignment horizontal="center" vertical="center"/>
      <protection locked="0" hidden="0"/>
    </xf>
    <xf numFmtId="2" fontId="4" fillId="2" borderId="12" applyAlignment="1" pivotButton="0" quotePrefix="0" xfId="0">
      <alignment horizontal="center" vertical="center"/>
    </xf>
    <xf numFmtId="2" fontId="4" fillId="2" borderId="11" applyAlignment="1" pivotButton="0" quotePrefix="0" xfId="0">
      <alignment horizontal="center" vertical="center"/>
    </xf>
    <xf numFmtId="9" fontId="4" fillId="2" borderId="14" applyAlignment="1" pivotButton="0" quotePrefix="0" xfId="1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1">
      <alignment horizontal="center"/>
    </xf>
    <xf numFmtId="9" fontId="0" fillId="0" borderId="0" applyAlignment="1" pivotButton="0" quotePrefix="0" xfId="1">
      <alignment horizontal="center"/>
    </xf>
    <xf numFmtId="2" fontId="7" fillId="0" borderId="0" applyAlignment="1" pivotButton="0" quotePrefix="0" xfId="1">
      <alignment horizontal="center"/>
    </xf>
    <xf numFmtId="0" fontId="0" fillId="5" borderId="8" applyAlignment="1" pivotButton="0" quotePrefix="0" xfId="0">
      <alignment horizontal="center"/>
    </xf>
    <xf numFmtId="1" fontId="0" fillId="5" borderId="8" applyAlignment="1" pivotButton="0" quotePrefix="0" xfId="1">
      <alignment horizontal="center"/>
    </xf>
    <xf numFmtId="9" fontId="0" fillId="5" borderId="8" applyAlignment="1" pivotButton="0" quotePrefix="0" xfId="1">
      <alignment horizontal="center"/>
    </xf>
    <xf numFmtId="0" fontId="0" fillId="6" borderId="8" applyAlignment="1" pivotButton="0" quotePrefix="0" xfId="0">
      <alignment horizontal="center"/>
    </xf>
    <xf numFmtId="1" fontId="0" fillId="6" borderId="8" applyAlignment="1" pivotButton="0" quotePrefix="0" xfId="1">
      <alignment horizontal="center"/>
    </xf>
    <xf numFmtId="9" fontId="0" fillId="6" borderId="8" applyAlignment="1" pivotButton="0" quotePrefix="0" xfId="1">
      <alignment horizontal="center"/>
    </xf>
    <xf numFmtId="0" fontId="0" fillId="7" borderId="8" applyAlignment="1" pivotButton="0" quotePrefix="0" xfId="0">
      <alignment horizontal="center"/>
    </xf>
    <xf numFmtId="1" fontId="0" fillId="7" borderId="8" applyAlignment="1" pivotButton="0" quotePrefix="0" xfId="1">
      <alignment horizontal="center"/>
    </xf>
    <xf numFmtId="9" fontId="0" fillId="7" borderId="8" applyAlignment="1" pivotButton="0" quotePrefix="0" xfId="1">
      <alignment horizontal="center"/>
    </xf>
    <xf numFmtId="0" fontId="0" fillId="8" borderId="8" applyAlignment="1" pivotButton="0" quotePrefix="0" xfId="0">
      <alignment horizontal="center"/>
    </xf>
    <xf numFmtId="1" fontId="0" fillId="8" borderId="8" applyAlignment="1" pivotButton="0" quotePrefix="0" xfId="1">
      <alignment horizontal="center"/>
    </xf>
    <xf numFmtId="9" fontId="0" fillId="8" borderId="8" applyAlignment="1" pivotButton="0" quotePrefix="0" xfId="1">
      <alignment horizontal="center"/>
    </xf>
    <xf numFmtId="0" fontId="8" fillId="0" borderId="1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1" fontId="0" fillId="0" borderId="10" applyAlignment="1" pivotButton="0" quotePrefix="0" xfId="1">
      <alignment horizontal="center"/>
    </xf>
    <xf numFmtId="0" fontId="9" fillId="0" borderId="16" applyAlignment="1" pivotButton="0" quotePrefix="0" xfId="0">
      <alignment horizontal="center" vertical="center" textRotation="90" wrapText="1"/>
    </xf>
    <xf numFmtId="0" fontId="5" fillId="0" borderId="20" applyAlignment="1" applyProtection="1" pivotButton="0" quotePrefix="0" xfId="0">
      <alignment horizontal="center" vertical="center"/>
      <protection locked="0" hidden="0"/>
    </xf>
    <xf numFmtId="0" fontId="3" fillId="4" borderId="22" applyAlignment="1" applyProtection="1" pivotButton="0" quotePrefix="0" xfId="0">
      <alignment horizontal="left" vertical="center"/>
      <protection locked="0" hidden="0"/>
    </xf>
    <xf numFmtId="0" fontId="3" fillId="4" borderId="15" applyAlignment="1" applyProtection="1" pivotButton="0" quotePrefix="0" xfId="0">
      <alignment horizontal="center" vertical="center"/>
      <protection locked="0" hidden="0"/>
    </xf>
    <xf numFmtId="0" fontId="3" fillId="4" borderId="23" applyAlignment="1" applyProtection="1" pivotButton="0" quotePrefix="0" xfId="0">
      <alignment horizontal="center" vertical="center"/>
      <protection locked="0" hidden="0"/>
    </xf>
    <xf numFmtId="0" fontId="3" fillId="4" borderId="24" applyAlignment="1" applyProtection="1" pivotButton="0" quotePrefix="0" xfId="0">
      <alignment horizontal="center" vertical="center"/>
      <protection locked="0" hidden="0"/>
    </xf>
    <xf numFmtId="0" fontId="5" fillId="0" borderId="25" applyAlignment="1" applyProtection="1" pivotButton="0" quotePrefix="0" xfId="0">
      <alignment horizontal="center" vertical="center"/>
      <protection locked="0" hidden="0"/>
    </xf>
    <xf numFmtId="0" fontId="3" fillId="0" borderId="26" applyAlignment="1" applyProtection="1" pivotButton="0" quotePrefix="0" xfId="0">
      <alignment horizontal="center" vertical="center" textRotation="90" wrapText="1"/>
      <protection locked="0" hidden="0"/>
    </xf>
    <xf numFmtId="0" fontId="4" fillId="2" borderId="9" applyAlignment="1" applyProtection="1" pivotButton="0" quotePrefix="0" xfId="0">
      <alignment horizontal="center" vertical="center"/>
      <protection locked="0" hidden="0"/>
    </xf>
    <xf numFmtId="0" fontId="4" fillId="2" borderId="8" applyAlignment="1" applyProtection="1" pivotButton="0" quotePrefix="0" xfId="0">
      <alignment horizontal="center" vertical="center"/>
      <protection locked="0" hidden="0"/>
    </xf>
    <xf numFmtId="2" fontId="4" fillId="0" borderId="27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5" fillId="2" borderId="32" applyAlignment="1" applyProtection="1" pivotButton="0" quotePrefix="0" xfId="0">
      <alignment horizontal="center" vertical="center"/>
      <protection locked="0" hidden="0"/>
    </xf>
    <xf numFmtId="1" fontId="4" fillId="0" borderId="33" applyAlignment="1" pivotButton="0" quotePrefix="0" xfId="0">
      <alignment horizontal="center" vertical="center"/>
    </xf>
    <xf numFmtId="2" fontId="4" fillId="2" borderId="34" applyAlignment="1" pivotButton="0" quotePrefix="0" xfId="0">
      <alignment horizontal="center" vertical="center"/>
    </xf>
    <xf numFmtId="0" fontId="4" fillId="2" borderId="10" applyAlignment="1" applyProtection="1" pivotButton="0" quotePrefix="0" xfId="0">
      <alignment horizontal="center" vertical="center"/>
      <protection locked="0" hidden="0"/>
    </xf>
    <xf numFmtId="0" fontId="14" fillId="0" borderId="41" applyAlignment="1" applyProtection="1" pivotButton="0" quotePrefix="0" xfId="0">
      <alignment horizontal="left"/>
      <protection locked="0" hidden="0"/>
    </xf>
    <xf numFmtId="0" fontId="15" fillId="0" borderId="17" applyAlignment="1" applyProtection="1" pivotButton="0" quotePrefix="0" xfId="0">
      <alignment horizontal="center" vertical="center" textRotation="90" wrapText="1"/>
      <protection locked="0" hidden="0"/>
    </xf>
    <xf numFmtId="0" fontId="15" fillId="0" borderId="18" applyAlignment="1" applyProtection="1" pivotButton="0" quotePrefix="0" xfId="0">
      <alignment horizontal="center" vertical="center" textRotation="90" wrapText="1"/>
      <protection locked="0" hidden="0"/>
    </xf>
    <xf numFmtId="0" fontId="15" fillId="0" borderId="19" applyAlignment="1" applyProtection="1" pivotButton="0" quotePrefix="0" xfId="0">
      <alignment horizontal="center" vertical="center" textRotation="90" wrapText="1"/>
      <protection locked="0" hidden="0"/>
    </xf>
    <xf numFmtId="0" fontId="10" fillId="9" borderId="2" applyAlignment="1" pivotButton="0" quotePrefix="0" xfId="0">
      <alignment horizontal="left" vertical="top" wrapText="1"/>
    </xf>
    <xf numFmtId="0" fontId="10" fillId="9" borderId="0" applyAlignment="1" applyProtection="1" pivotButton="0" quotePrefix="0" xfId="0">
      <alignment horizontal="left"/>
      <protection locked="0" hidden="0"/>
    </xf>
    <xf numFmtId="0" fontId="10" fillId="9" borderId="0" pivotButton="0" quotePrefix="0" xfId="0"/>
    <xf numFmtId="2" fontId="1" fillId="7" borderId="8" applyAlignment="1" pivotButton="0" quotePrefix="0" xfId="1">
      <alignment horizontal="center"/>
    </xf>
    <xf numFmtId="2" fontId="1" fillId="5" borderId="8" applyAlignment="1" pivotButton="0" quotePrefix="0" xfId="1">
      <alignment horizontal="center"/>
    </xf>
    <xf numFmtId="0" fontId="1" fillId="9" borderId="2" pivotButton="0" quotePrefix="0" xfId="0"/>
    <xf numFmtId="0" fontId="1" fillId="9" borderId="3" pivotButton="0" quotePrefix="0" xfId="0"/>
    <xf numFmtId="0" fontId="1" fillId="9" borderId="0" pivotButton="0" quotePrefix="0" xfId="0"/>
    <xf numFmtId="0" fontId="1" fillId="9" borderId="5" pivotButton="0" quotePrefix="0" xfId="0"/>
    <xf numFmtId="2" fontId="1" fillId="8" borderId="8" applyAlignment="1" pivotButton="0" quotePrefix="0" xfId="1">
      <alignment horizontal="center"/>
    </xf>
    <xf numFmtId="2" fontId="1" fillId="0" borderId="0" applyAlignment="1" pivotButton="0" quotePrefix="0" xfId="1">
      <alignment horizontal="center"/>
    </xf>
    <xf numFmtId="1" fontId="1" fillId="7" borderId="10" applyAlignment="1" pivotButton="0" quotePrefix="0" xfId="1">
      <alignment horizontal="center"/>
    </xf>
    <xf numFmtId="9" fontId="1" fillId="7" borderId="8" applyAlignment="1" pivotButton="0" quotePrefix="0" xfId="1">
      <alignment horizontal="center"/>
    </xf>
    <xf numFmtId="1" fontId="1" fillId="5" borderId="10" applyAlignment="1" pivotButton="0" quotePrefix="0" xfId="1">
      <alignment horizontal="center"/>
    </xf>
    <xf numFmtId="9" fontId="1" fillId="5" borderId="8" applyAlignment="1" pivotButton="0" quotePrefix="0" xfId="1">
      <alignment horizontal="center"/>
    </xf>
    <xf numFmtId="2" fontId="1" fillId="6" borderId="8" applyAlignment="1" pivotButton="0" quotePrefix="0" xfId="1">
      <alignment horizontal="center"/>
    </xf>
    <xf numFmtId="0" fontId="10" fillId="9" borderId="0" applyProtection="1" pivotButton="0" quotePrefix="0" xfId="0">
      <protection locked="0" hidden="0"/>
    </xf>
    <xf numFmtId="0" fontId="5" fillId="0" borderId="10" applyAlignment="1" applyProtection="1" pivotButton="0" quotePrefix="0" xfId="0">
      <alignment horizontal="center" vertical="center"/>
      <protection locked="0" hidden="0"/>
    </xf>
    <xf numFmtId="0" fontId="16" fillId="2" borderId="32" applyAlignment="1" applyProtection="1" pivotButton="0" quotePrefix="0" xfId="0">
      <alignment horizontal="center" vertical="center"/>
      <protection locked="0" hidden="0"/>
    </xf>
    <xf numFmtId="0" fontId="16" fillId="2" borderId="9" applyAlignment="1" applyProtection="1" pivotButton="0" quotePrefix="0" xfId="0">
      <alignment horizontal="center" vertical="center"/>
      <protection locked="0" hidden="0"/>
    </xf>
    <xf numFmtId="0" fontId="17" fillId="0" borderId="8" pivotButton="0" quotePrefix="0" xfId="0"/>
    <xf numFmtId="0" fontId="4" fillId="0" borderId="10" applyAlignment="1" applyProtection="1" pivotButton="0" quotePrefix="0" xfId="0">
      <alignment horizontal="center" vertical="center"/>
      <protection locked="0" hidden="0"/>
    </xf>
    <xf numFmtId="0" fontId="16" fillId="10" borderId="32" applyAlignment="1" applyProtection="1" pivotButton="0" quotePrefix="0" xfId="0">
      <alignment horizontal="center" vertical="center"/>
      <protection locked="0" hidden="0"/>
    </xf>
    <xf numFmtId="0" fontId="16" fillId="10" borderId="9" applyAlignment="1" applyProtection="1" pivotButton="0" quotePrefix="0" xfId="0">
      <alignment horizontal="center" vertical="center"/>
      <protection locked="0" hidden="0"/>
    </xf>
    <xf numFmtId="0" fontId="5" fillId="2" borderId="8" applyAlignment="1" applyProtection="1" pivotButton="0" quotePrefix="0" xfId="0">
      <alignment horizontal="center" vertical="center" wrapText="1"/>
      <protection locked="0" hidden="0"/>
    </xf>
    <xf numFmtId="0" fontId="8" fillId="3" borderId="1" applyAlignment="1" applyProtection="1" pivotButton="0" quotePrefix="0" xfId="0">
      <alignment horizontal="left" vertical="top" wrapText="1"/>
      <protection locked="0" hidden="0"/>
    </xf>
    <xf numFmtId="0" fontId="8" fillId="3" borderId="2" applyAlignment="1" applyProtection="1" pivotButton="0" quotePrefix="0" xfId="0">
      <alignment horizontal="left" vertical="top" wrapText="1"/>
      <protection locked="0" hidden="0"/>
    </xf>
    <xf numFmtId="0" fontId="4" fillId="0" borderId="4" applyAlignment="1" applyProtection="1" pivotButton="0" quotePrefix="0" xfId="0">
      <alignment horizontal="center" vertical="center" textRotation="90"/>
      <protection locked="0" hidden="0"/>
    </xf>
    <xf numFmtId="0" fontId="4" fillId="0" borderId="0" applyAlignment="1" applyProtection="1" pivotButton="0" quotePrefix="0" xfId="0">
      <alignment horizontal="center" vertical="center" textRotation="90"/>
      <protection locked="0" hidden="0"/>
    </xf>
    <xf numFmtId="0" fontId="5" fillId="4" borderId="30" applyAlignment="1" applyProtection="1" pivotButton="0" quotePrefix="0" xfId="0">
      <alignment horizontal="center" vertical="center"/>
      <protection locked="0" hidden="0"/>
    </xf>
    <xf numFmtId="0" fontId="5" fillId="4" borderId="0" applyAlignment="1" applyProtection="1" pivotButton="0" quotePrefix="0" xfId="0">
      <alignment horizontal="center" vertical="center"/>
      <protection locked="0" hidden="0"/>
    </xf>
    <xf numFmtId="0" fontId="5" fillId="4" borderId="31" applyAlignment="1" applyProtection="1" pivotButton="0" quotePrefix="0" xfId="0">
      <alignment horizontal="center" vertical="center"/>
      <protection locked="0" hidden="0"/>
    </xf>
    <xf numFmtId="0" fontId="4" fillId="0" borderId="35" applyAlignment="1" applyProtection="1" pivotButton="0" quotePrefix="0" xfId="0">
      <alignment horizontal="center" vertical="center"/>
      <protection locked="0" hidden="0"/>
    </xf>
    <xf numFmtId="0" fontId="4" fillId="0" borderId="36" applyAlignment="1" applyProtection="1" pivotButton="0" quotePrefix="0" xfId="0">
      <alignment horizontal="center" vertical="center"/>
      <protection locked="0" hidden="0"/>
    </xf>
    <xf numFmtId="0" fontId="4" fillId="0" borderId="37" applyAlignment="1" applyProtection="1" pivotButton="0" quotePrefix="0" xfId="0">
      <alignment horizontal="center" vertical="center"/>
      <protection locked="0" hidden="0"/>
    </xf>
    <xf numFmtId="0" fontId="4" fillId="0" borderId="32" applyAlignment="1" applyProtection="1" pivotButton="0" quotePrefix="0" xfId="0">
      <alignment horizontal="center" vertical="center"/>
      <protection locked="0" hidden="0"/>
    </xf>
    <xf numFmtId="0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38" applyAlignment="1" applyProtection="1" pivotButton="0" quotePrefix="0" xfId="0">
      <alignment horizontal="center" vertical="center"/>
      <protection locked="0" hidden="0"/>
    </xf>
    <xf numFmtId="0" fontId="10" fillId="9" borderId="2" applyAlignment="1" pivotButton="0" quotePrefix="0" xfId="0">
      <alignment horizontal="left" vertical="top" wrapText="1"/>
    </xf>
    <xf numFmtId="9" fontId="8" fillId="2" borderId="8" applyAlignment="1" applyProtection="1" pivotButton="0" quotePrefix="0" xfId="1">
      <alignment horizontal="center" vertical="center"/>
      <protection locked="0" hidden="0"/>
    </xf>
    <xf numFmtId="0" fontId="8" fillId="0" borderId="9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4" fillId="0" borderId="39" applyAlignment="1" applyProtection="1" pivotButton="0" quotePrefix="0" xfId="0">
      <alignment horizontal="center" vertical="center"/>
      <protection locked="0" hidden="0"/>
    </xf>
    <xf numFmtId="0" fontId="4" fillId="0" borderId="40" applyAlignment="1" applyProtection="1" pivotButton="0" quotePrefix="0" xfId="0">
      <alignment horizontal="center" vertical="center"/>
      <protection locked="0" hidden="0"/>
    </xf>
    <xf numFmtId="0" fontId="4" fillId="0" borderId="21" applyAlignment="1" applyProtection="1" pivotButton="0" quotePrefix="0" xfId="0">
      <alignment horizontal="center" vertical="center"/>
      <protection locked="0" hidden="0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0" fillId="0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0" applyProtection="1" pivotButton="0" quotePrefix="0" xfId="0">
      <protection locked="0" hidden="0"/>
    </xf>
    <xf numFmtId="0" fontId="5" fillId="4" borderId="46" applyAlignment="1" applyProtection="1" pivotButton="0" quotePrefix="0" xfId="0">
      <alignment horizontal="center" vertical="center"/>
      <protection locked="0" hidden="0"/>
    </xf>
    <xf numFmtId="0" fontId="0" fillId="0" borderId="31" applyProtection="1" pivotButton="0" quotePrefix="0" xfId="0">
      <protection locked="0" hidden="0"/>
    </xf>
    <xf numFmtId="0" fontId="0" fillId="0" borderId="36" applyProtection="1" pivotButton="0" quotePrefix="0" xfId="0">
      <protection locked="0" hidden="0"/>
    </xf>
    <xf numFmtId="0" fontId="0" fillId="0" borderId="49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4" fillId="0" borderId="44" applyAlignment="1" applyProtection="1" pivotButton="0" quotePrefix="0" xfId="0">
      <alignment horizontal="center" vertical="center"/>
      <protection locked="0" hidden="0"/>
    </xf>
    <xf numFmtId="0" fontId="0" fillId="0" borderId="4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0" fontId="0" fillId="0" borderId="13" pivotButton="0" quotePrefix="0" xfId="0"/>
    <xf numFmtId="0" fontId="0" fillId="0" borderId="10" pivotButton="0" quotePrefix="0" xfId="0"/>
  </cellXfs>
  <cellStyles count="4">
    <cellStyle name="Normal" xfId="0" builtinId="0"/>
    <cellStyle name="Percent" xfId="1" builtinId="5"/>
    <cellStyle name="Hyperlink" xfId="2" builtinId="8" hidden="1"/>
    <cellStyle name="Followed Hyperlink" xfId="3" builtinId="9" hidden="1"/>
  </cellStyles>
  <dxfs count="23">
    <dxf>
      <fill>
        <patternFill>
          <bgColor rgb="FFFDC7E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n-US"/>
              <a:t xml:space="preserve">Internal </a:t>
            </a:r>
            <a:r>
              <a:rPr lang="en-US" baseline="0"/>
              <a:t>A</a:t>
            </a:r>
            <a:r>
              <a:rPr lang="en-US"/>
              <a:t>ttainment Summary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100" baseline="0">
              <a:solidFill>
                <a:schemeClr val="lt1">
                  <a:lumMod val="95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216358673177776"/>
          <y val="0.137880444450663"/>
          <w val="0.974701653356514"/>
          <h val="0.765305375859894"/>
        </manualLayout>
      </layout>
      <pie3D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C80000"/>
              </a:solidFill>
              <a:ln xmlns:a="http://schemas.openxmlformats.org/drawingml/2006/main"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 xmlns:a="http://schemas.openxmlformats.org/drawingml/2006/main">
                <bevelT w="63500" h="25400"/>
              </a:sp3d>
            </spPr>
          </dPt>
          <dPt>
            <idx val="1"/>
            <bubble3D val="0"/>
            <spPr>
              <a:solidFill xmlns:a="http://schemas.openxmlformats.org/drawingml/2006/main">
                <a:srgbClr val="1054C2"/>
              </a:solidFill>
              <a:ln xmlns:a="http://schemas.openxmlformats.org/drawingml/2006/main"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 xmlns:a="http://schemas.openxmlformats.org/drawingml/2006/main">
                <bevelT w="63500" h="25400"/>
              </a:sp3d>
            </spPr>
          </dPt>
          <dPt>
            <idx val="2"/>
            <bubble3D val="0"/>
            <spPr>
              <a:gradFill xmlns:a="http://schemas.openxmlformats.org/drawingml/2006/main"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xmlns:a="http://schemas.openxmlformats.org/drawingml/2006/main"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 xmlns:a="http://schemas.openxmlformats.org/drawingml/2006/main">
                <bevelT w="63500" h="25400"/>
              </a:sp3d>
            </spPr>
          </dPt>
          <dPt>
            <idx val="3"/>
            <bubble3D val="0"/>
            <spPr>
              <a:gradFill xmlns:a="http://schemas.openxmlformats.org/drawingml/2006/main"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xmlns:a="http://schemas.openxmlformats.org/drawingml/2006/main"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 xmlns:a="http://schemas.openxmlformats.org/drawingml/2006/main">
                <bevelT w="63500" h="25400"/>
              </a:sp3d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600" b="1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'S1_Assessment 1_Analysis_12D'!$W$49:$W$52</f>
              <strCache>
                <ptCount val="4"/>
                <pt idx="0">
                  <v>Unsatisfactory</v>
                </pt>
                <pt idx="1">
                  <v xml:space="preserve">Acceptable </v>
                </pt>
                <pt idx="2">
                  <v>Good/Very Good</v>
                </pt>
                <pt idx="3">
                  <v>Outstanding</v>
                </pt>
              </strCache>
            </strRef>
          </cat>
          <val>
            <numRef>
              <f>'S1_Assessment 1_Analysis_12D'!$Y$49:$Y$52</f>
              <numCache>
                <formatCode>0%</formatCode>
                <ptCount val="4"/>
                <pt idx="0">
                  <v>1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1"/>
          <showBubbleSize val="0"/>
          <showLeaderLines val="1"/>
        </dLbls>
      </pie3DChart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rtl="0">
            <a:defRPr sz="20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zero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n-US"/>
              <a:t>Average Attainment Per</a:t>
            </a:r>
            <a:r>
              <a:rPr lang="en-US" baseline="0"/>
              <a:t xml:space="preserve"> Standard</a:t>
            </a:r>
            <a:r>
              <a:rPr lang="en-US"/>
              <a:t> 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100" baseline="0">
              <a:solidFill>
                <a:schemeClr val="lt1">
                  <a:lumMod val="95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stacked"/>
        <varyColors val="0"/>
        <ser>
          <idx val="0"/>
          <order val="0"/>
          <spPr>
            <a:gradFill xmlns:a="http://schemas.openxmlformats.org/drawingml/2006/main"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'S1_Assessment 1_Analysis_12D'!$E$4:$R$4</f>
              <strCache>
                <ptCount val="2"/>
                <pt idx="0">
                  <v xml:space="preserve">HS-PS2-1
Differentiate between Distance -Displacement 
Differentiate between Speed -Velocity </v>
                </pt>
                <pt idx="1">
                  <v>"HS-PS2-1
Evaluate Acceleration &amp; other variables using kinematic Equtions</v>
                </pt>
              </strCache>
            </strRef>
          </cat>
          <val>
            <numRef>
              <f>'S1_Assessment 1_Analysis_12D'!$E$41:$R$41</f>
              <numCache>
                <formatCode>0%</formatCode>
                <ptCount val="14"/>
                <pt idx="0">
                  <v>0.8</v>
                </pt>
                <pt idx="1">
                  <v>0.71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150"/>
        <overlap val="100"/>
        <axId val="224884832"/>
        <axId val="224885392"/>
      </barChart>
      <catAx>
        <axId val="224884832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24885392"/>
        <crosses val="autoZero"/>
        <auto val="1"/>
        <lblAlgn val="ctr"/>
        <lblOffset val="100"/>
        <noMultiLvlLbl val="0"/>
      </catAx>
      <valAx>
        <axId val="22488539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248848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n-US" baseline="0"/>
              <a:t>KHDA Parameters A</a:t>
            </a:r>
            <a:r>
              <a:rPr lang="en-US"/>
              <a:t>ttainment Summary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100" baseline="0">
              <a:solidFill>
                <a:schemeClr val="lt1">
                  <a:lumMod val="95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216358673177776"/>
          <y val="0.137880444450663"/>
          <w val="0.974701653356514"/>
          <h val="0.765305375859894"/>
        </manualLayout>
      </layout>
      <barChart>
        <barDir val="col"/>
        <grouping val="clustered"/>
        <varyColors val="0"/>
        <ser>
          <idx val="0"/>
          <order val="0"/>
          <spPr>
            <a:gradFill xmlns:a="http://schemas.openxmlformats.org/drawingml/2006/main"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Pt>
            <idx val="1"/>
            <invertIfNegative val="0"/>
            <bubble3D val="0"/>
            <spPr>
              <a:solidFill xmlns:a="http://schemas.openxmlformats.org/drawingml/2006/main">
                <a:srgbClr val="9BBB59"/>
              </a:solidFill>
              <a:ln xmlns:a="http://schemas.openxmlformats.org/drawingml/2006/main"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 xmlns:a="http://schemas.openxmlformats.org/drawingml/2006/main">
                <bevelT w="63500" h="25400"/>
              </a:sp3d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600" b="1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'S1_Assessment 1_Analysis_12D'!$AC$49:$AC$50</f>
              <strCache>
                <ptCount val="2"/>
                <pt idx="0">
                  <v>At or Above 67%</v>
                </pt>
                <pt idx="1">
                  <v>At or Above 77%</v>
                </pt>
              </strCache>
            </strRef>
          </cat>
          <val>
            <numRef>
              <f>'S1_Assessment 1_Analysis_12D'!$AE$49:$AE$50</f>
              <numCache>
                <formatCode>0%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00"/>
        <axId val="225433168"/>
        <axId val="225432608"/>
      </barChart>
      <catAx>
        <axId val="225433168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2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25432608"/>
        <crossesAt val="0"/>
        <auto val="1"/>
        <lblAlgn val="ctr"/>
        <lblOffset val="100"/>
        <noMultiLvlLbl val="0"/>
      </catAx>
      <valAx>
        <axId val="225432608"/>
        <scaling>
          <orientation val="minMax"/>
          <max val="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numFmt formatCode="0%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25433168"/>
        <crosses val="autoZero"/>
        <crossBetween val="between"/>
        <majorUnit val="0.1"/>
        <minorUnit val="0.02"/>
      </valAx>
    </plotArea>
    <plotVisOnly val="1"/>
    <dispBlanksAs val="zero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image" Target="/xl/media/image1.png" Id="rId4"/></Relationships>
</file>

<file path=xl/drawings/drawing1.xml><?xml version="1.0" encoding="utf-8"?>
<wsDr xmlns="http://schemas.openxmlformats.org/drawingml/2006/spreadsheetDrawing">
  <twoCellAnchor>
    <from>
      <col>19</col>
      <colOff>273538</colOff>
      <row>1</row>
      <rowOff>166253</rowOff>
    </from>
    <to>
      <col>28</col>
      <colOff>508000</colOff>
      <row>10</row>
      <rowOff>135465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449202</colOff>
      <row>44</row>
      <rowOff>97692</rowOff>
    </from>
    <to>
      <col>19</col>
      <colOff>195385</colOff>
      <row>137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29</col>
      <colOff>76200</colOff>
      <row>1</row>
      <rowOff>186267</rowOff>
    </from>
    <to>
      <col>38</col>
      <colOff>488462</colOff>
      <row>10</row>
      <rowOff>155479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 editAs="oneCell">
    <from>
      <col>16</col>
      <colOff>711200</colOff>
      <row>0</row>
      <rowOff>1</rowOff>
    </from>
    <to>
      <col>19</col>
      <colOff>4381</colOff>
      <row>3</row>
      <rowOff>3176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880006" y="1"/>
          <a:ext cx="1804749" cy="60126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9"/>
    <outlinePr summaryBelow="1" summaryRight="1"/>
    <pageSetUpPr/>
  </sheetPr>
  <dimension ref="A1:AJ112"/>
  <sheetViews>
    <sheetView showGridLines="0" tabSelected="1" topLeftCell="A4" zoomScale="110" zoomScaleNormal="110" workbookViewId="0">
      <selection activeCell="F24" sqref="F24"/>
    </sheetView>
  </sheetViews>
  <sheetFormatPr baseColWidth="8" defaultColWidth="8.85546875" defaultRowHeight="14.1"/>
  <cols>
    <col width="26.28515625" customWidth="1" style="19" min="1" max="1"/>
    <col width="7.28515625" customWidth="1" style="19" min="2" max="2"/>
    <col width="11.140625" customWidth="1" style="19" min="3" max="3"/>
    <col width="6.140625" customWidth="1" style="19" min="4" max="4"/>
    <col width="18.28515625" customWidth="1" style="1" min="5" max="5"/>
    <col width="16" customWidth="1" style="1" min="6" max="6"/>
    <col width="15" customWidth="1" style="1" min="7" max="11"/>
    <col width="11" customWidth="1" style="1" min="12" max="12"/>
    <col width="16.28515625" customWidth="1" style="1" min="13" max="13"/>
    <col width="12.28515625" customWidth="1" style="1" min="14" max="15"/>
    <col width="11" customWidth="1" style="1" min="16" max="16"/>
    <col width="10.28515625" customWidth="1" style="1" min="17" max="17"/>
    <col width="11" customWidth="1" style="1" min="18" max="18"/>
    <col width="11.7109375" customWidth="1" style="1" min="19" max="19"/>
    <col width="12.28515625" customWidth="1" style="1" min="20" max="20"/>
    <col width="8.85546875" customWidth="1" style="1" min="21" max="21"/>
    <col width="18.140625" customWidth="1" style="1" min="22" max="22"/>
    <col width="13.85546875" customWidth="1" style="1" min="23" max="23"/>
    <col width="9.140625" customWidth="1" style="1" min="24" max="24"/>
    <col width="9.85546875" customWidth="1" style="1" min="25" max="25"/>
    <col width="8.85546875" customWidth="1" style="1" min="26" max="27"/>
    <col width="15.28515625" bestFit="1" customWidth="1" style="1" min="28" max="28"/>
    <col width="17.7109375" customWidth="1" style="1" min="29" max="29"/>
    <col width="7.85546875" customWidth="1" style="1" min="30" max="30"/>
    <col width="13.28515625" customWidth="1" style="1" min="31" max="31"/>
    <col width="8.85546875" customWidth="1" style="1" min="32" max="32"/>
    <col width="15.140625" customWidth="1" style="1" min="33" max="33"/>
    <col width="16.140625" customWidth="1" style="1" min="34" max="34"/>
    <col width="12.28515625" customWidth="1" style="1" min="35" max="35"/>
    <col width="15.28515625" customWidth="1" style="1" min="36" max="36"/>
    <col width="8.85546875" customWidth="1" style="1" min="37" max="16384"/>
  </cols>
  <sheetData>
    <row r="1" ht="15.95" customHeight="1">
      <c r="A1" s="100" t="inlineStr">
        <is>
          <t>Al Mawakeb School Al Khawaneej</t>
        </is>
      </c>
      <c r="B1" s="123" t="n"/>
      <c r="C1" s="123" t="n"/>
      <c r="D1" s="123" t="n"/>
      <c r="E1" s="113" t="inlineStr">
        <is>
          <t>Academic year: 2025-2026</t>
        </is>
      </c>
      <c r="F1" s="124" t="n"/>
      <c r="G1" s="124" t="n"/>
      <c r="H1" s="124" t="n"/>
      <c r="I1" s="124" t="n"/>
      <c r="J1" s="113" t="n"/>
      <c r="K1" s="113" t="n"/>
      <c r="L1" s="80" t="n"/>
      <c r="M1" s="80" t="n"/>
      <c r="N1" s="80" t="n"/>
      <c r="O1" s="80" t="n"/>
      <c r="P1" s="80" t="n"/>
      <c r="Q1" s="80" t="n"/>
      <c r="R1" s="80" t="n"/>
      <c r="S1" s="81" t="n"/>
    </row>
    <row r="2" ht="15.95" customHeight="1">
      <c r="A2" s="15" t="inlineStr">
        <is>
          <t>Subject: Physics</t>
        </is>
      </c>
      <c r="B2" s="16" t="n"/>
      <c r="C2" s="16" t="n"/>
      <c r="D2" s="16" t="n"/>
      <c r="E2" s="77" t="inlineStr">
        <is>
          <t>Semester 2 - Final Exam Analysis</t>
        </is>
      </c>
      <c r="F2" s="77" t="n"/>
      <c r="G2" s="91" t="n"/>
      <c r="H2" s="76" t="n"/>
      <c r="I2" s="76" t="n"/>
      <c r="J2" s="76" t="n"/>
      <c r="K2" s="76" t="n"/>
      <c r="L2" s="82" t="n"/>
      <c r="M2" s="82" t="n"/>
      <c r="N2" s="82" t="n"/>
      <c r="O2" s="82" t="n"/>
      <c r="P2" s="82" t="n"/>
      <c r="Q2" s="82" t="n"/>
      <c r="R2" s="82" t="n"/>
      <c r="S2" s="83" t="n"/>
    </row>
    <row r="3" ht="15.95" customHeight="1">
      <c r="A3" s="17" t="inlineStr">
        <is>
          <t>Grade/Section: 12C</t>
        </is>
      </c>
      <c r="B3" s="18" t="n"/>
      <c r="C3" s="18" t="n"/>
      <c r="D3" s="18" t="n"/>
      <c r="E3" s="77" t="n"/>
      <c r="F3" s="77" t="n"/>
      <c r="G3" s="77" t="n"/>
      <c r="H3" s="77" t="n"/>
      <c r="I3" s="77" t="n"/>
      <c r="J3" s="77" t="n"/>
      <c r="K3" s="77" t="n"/>
      <c r="L3" s="82" t="n"/>
      <c r="M3" s="82" t="n"/>
      <c r="N3" s="82" t="n"/>
      <c r="O3" s="82" t="n"/>
      <c r="P3" s="82" t="n"/>
      <c r="Q3" s="82" t="n"/>
      <c r="R3" s="82" t="n"/>
      <c r="S3" s="83" t="n"/>
    </row>
    <row r="4" ht="150.95" customHeight="1">
      <c r="A4" s="102" t="n"/>
      <c r="B4" s="125" t="n"/>
      <c r="C4" s="125" t="n"/>
      <c r="D4" s="61" t="inlineStr">
        <is>
          <t>MA Standard</t>
        </is>
      </c>
      <c r="E4" s="73" t="inlineStr">
        <is>
          <t>HS-PS2-1
Newton's 2nd Law, Net Force, Mass, Weight, Normal Force &amp; Equilibrium
A. Apply Fnet=ma (horizontal &amp; elevators)  B. Balanced vs unbalanced forces  C. Mass vs weight; Fg &amp; Fn  D. Equilibrium Fnet=0
(Part I Q1-5, Part II Q1-3, Part III Q1-2)</t>
        </is>
      </c>
      <c r="F4" s="73" t="inlineStr">
        <is>
          <t>HS-PS3-1
Work, Energy &amp; Conservation of Energy
A. Work W=F.d.cos(theta) incl. friction  B. Positive/negative/zero work  C. Work-Energy Theorem Wnet=dKE  D. KE, PEg, ME &amp; conservation
(Part I Q6-13, Part II Q4-8, Part III Q3-5)</t>
        </is>
      </c>
      <c r="G4" s="73" t="inlineStr">
        <is>
          <t>HS-PS2-2
Momentum, Impulse &amp; Conservation of Momentum
A. p=mv &amp; change dp  B. Impulse J=F.dt=dp  C. Conservation (recoil/push-apart)  D. Perfectly inelastic collisions
(Part I Q14-25, Part II Q9-15, Part III Q6-10)</t>
        </is>
      </c>
      <c r="H4" s="73" t="inlineStr">
        <is>
          <t>Bonus</t>
        </is>
      </c>
      <c r="I4" s="74" t="n"/>
      <c r="J4" s="74" t="n"/>
      <c r="K4" s="74" t="n"/>
      <c r="L4" s="73" t="n"/>
      <c r="M4" s="74" t="n"/>
      <c r="N4" s="74" t="n"/>
      <c r="O4" s="74" t="n"/>
      <c r="P4" s="74" t="n"/>
      <c r="Q4" s="74" t="n"/>
      <c r="R4" s="74" t="n"/>
      <c r="S4" s="54" t="inlineStr">
        <is>
          <t xml:space="preserve">Total </t>
        </is>
      </c>
      <c r="T4" s="3" t="n"/>
      <c r="U4" s="3" t="n"/>
      <c r="V4" s="3" t="n"/>
      <c r="W4" s="3" t="n"/>
      <c r="X4" s="3" t="n"/>
    </row>
    <row r="5" ht="15" customHeight="1">
      <c r="A5" s="56" t="inlineStr">
        <is>
          <t>Student Name</t>
        </is>
      </c>
      <c r="B5" s="59" t="inlineStr">
        <is>
          <t>Gender</t>
        </is>
      </c>
      <c r="C5" s="57" t="inlineStr">
        <is>
          <t>Nationality</t>
        </is>
      </c>
      <c r="D5" s="58" t="inlineStr">
        <is>
          <t xml:space="preserve">SEN </t>
        </is>
      </c>
      <c r="E5" s="126" t="n"/>
      <c r="F5" s="125" t="n"/>
      <c r="G5" s="125" t="n"/>
      <c r="H5" s="125" t="n"/>
      <c r="I5" s="125" t="n"/>
      <c r="J5" s="125" t="n"/>
      <c r="K5" s="125" t="n"/>
      <c r="L5" s="125" t="n"/>
      <c r="M5" s="125" t="n"/>
      <c r="N5" s="125" t="n"/>
      <c r="O5" s="125" t="n"/>
      <c r="P5" s="125" t="n"/>
      <c r="Q5" s="125" t="n"/>
      <c r="R5" s="125" t="n"/>
      <c r="S5" s="127" t="n"/>
      <c r="T5" s="3" t="n"/>
      <c r="U5" s="3" t="n"/>
      <c r="V5" s="3" t="n"/>
      <c r="W5" s="3" t="n"/>
      <c r="X5" s="3" t="n"/>
      <c r="Y5" s="2" t="n"/>
      <c r="Z5" s="2" t="n"/>
    </row>
    <row r="6" ht="18.95" customHeight="1">
      <c r="A6" s="95" t="inlineStr">
        <is>
          <t>Alanood Al-Ali</t>
        </is>
      </c>
      <c r="B6" s="92" t="n"/>
      <c r="C6" s="10" t="n"/>
      <c r="D6" s="55" t="n"/>
      <c r="E6" s="93" t="n"/>
      <c r="F6" s="94" t="n"/>
      <c r="G6" s="27" t="n"/>
      <c r="H6" s="27" t="n"/>
      <c r="I6" s="27" t="n"/>
      <c r="J6" s="27" t="n"/>
      <c r="K6" s="27" t="n"/>
      <c r="L6" s="27" t="n"/>
      <c r="M6" s="27" t="n"/>
      <c r="N6" s="27" t="n"/>
      <c r="O6" s="27" t="n"/>
      <c r="P6" s="28" t="n"/>
      <c r="Q6" s="28" t="n"/>
      <c r="R6" s="27" t="n"/>
      <c r="S6" s="68">
        <f>ROUND(SUM(E6:R6),0)</f>
        <v/>
      </c>
      <c r="T6" s="4" t="n"/>
      <c r="U6" s="4" t="n"/>
      <c r="V6" s="4" t="n"/>
      <c r="W6" s="4" t="n"/>
      <c r="X6" s="4" t="n"/>
      <c r="Y6" s="2" t="n"/>
      <c r="Z6" s="2" t="n"/>
    </row>
    <row r="7" ht="18.95" customHeight="1">
      <c r="A7" s="95" t="inlineStr">
        <is>
          <t>Alia Hawi</t>
        </is>
      </c>
      <c r="B7" s="92" t="n"/>
      <c r="C7" s="10" t="n"/>
      <c r="D7" s="55" t="n"/>
      <c r="E7" s="93" t="n"/>
      <c r="F7" s="94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8" t="n"/>
      <c r="Q7" s="28" t="n"/>
      <c r="R7" s="27" t="n"/>
      <c r="S7" s="68">
        <f>ROUND(SUM(E7:R7),0)</f>
        <v/>
      </c>
      <c r="T7" s="4" t="n"/>
      <c r="U7" s="4" t="n"/>
      <c r="V7" s="4" t="n"/>
      <c r="W7" s="4" t="n"/>
      <c r="X7" s="4" t="n"/>
      <c r="Y7" s="2" t="n"/>
      <c r="Z7" s="2" t="n"/>
    </row>
    <row r="8" ht="18.95" customHeight="1">
      <c r="A8" s="95" t="inlineStr">
        <is>
          <t>Alia Almheiri</t>
        </is>
      </c>
      <c r="B8" s="96" t="n"/>
      <c r="C8" s="10" t="n"/>
      <c r="D8" s="55" t="n"/>
      <c r="E8" s="93" t="n"/>
      <c r="F8" s="94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8" t="n"/>
      <c r="Q8" s="28" t="n"/>
      <c r="R8" s="27" t="n"/>
      <c r="S8" s="68">
        <f>ROUND(SUM(E8:R8),0)</f>
        <v/>
      </c>
      <c r="T8" s="4" t="n"/>
      <c r="U8" s="4" t="n"/>
      <c r="V8" s="4" t="n"/>
      <c r="W8" s="4" t="n"/>
      <c r="X8" s="4" t="n"/>
      <c r="Y8" s="2" t="n"/>
      <c r="Z8" s="2" t="n"/>
    </row>
    <row r="9" ht="18.95" customHeight="1">
      <c r="A9" s="95" t="inlineStr">
        <is>
          <t>AlReem AlMarzooqi</t>
        </is>
      </c>
      <c r="B9" s="92" t="n"/>
      <c r="C9" s="10" t="n"/>
      <c r="D9" s="55" t="n"/>
      <c r="E9" s="93" t="n"/>
      <c r="F9" s="94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8" t="n"/>
      <c r="Q9" s="28" t="n"/>
      <c r="R9" s="27" t="n"/>
      <c r="S9" s="68">
        <f>ROUND(SUM(E9:R9),0)</f>
        <v/>
      </c>
      <c r="T9" s="4" t="n"/>
      <c r="U9" s="4" t="n"/>
      <c r="V9" s="4" t="n"/>
      <c r="W9" s="4" t="n"/>
      <c r="X9" s="4" t="n"/>
      <c r="Y9" s="2" t="n"/>
      <c r="Z9" s="2" t="n"/>
    </row>
    <row r="10" ht="18.95" customHeight="1">
      <c r="A10" s="95" t="inlineStr">
        <is>
          <t>Ayesha Salmin</t>
        </is>
      </c>
      <c r="B10" s="92" t="n"/>
      <c r="C10" s="10" t="n"/>
      <c r="D10" s="55" t="n"/>
      <c r="E10" s="93" t="n"/>
      <c r="F10" s="94" t="n"/>
      <c r="G10" s="27" t="n"/>
      <c r="H10" s="27" t="n"/>
      <c r="I10" s="27" t="n"/>
      <c r="J10" s="27" t="n"/>
      <c r="K10" s="27" t="n"/>
      <c r="L10" s="27" t="n"/>
      <c r="M10" s="27" t="n"/>
      <c r="N10" s="27" t="n"/>
      <c r="O10" s="27" t="n"/>
      <c r="P10" s="28" t="n"/>
      <c r="Q10" s="28" t="n"/>
      <c r="R10" s="27" t="n"/>
      <c r="S10" s="68">
        <f>ROUND(SUM(E10:R10),0)</f>
        <v/>
      </c>
      <c r="T10" s="4" t="n"/>
      <c r="U10" s="4" t="n"/>
      <c r="V10" s="4" t="n"/>
      <c r="W10" s="4" t="n"/>
      <c r="X10" s="4" t="n"/>
      <c r="Y10" s="2" t="n"/>
      <c r="Z10" s="2" t="n"/>
    </row>
    <row r="11" ht="18.95" customHeight="1">
      <c r="A11" s="95" t="inlineStr">
        <is>
          <t>Ayesha Alhashemi</t>
        </is>
      </c>
      <c r="B11" s="92" t="n"/>
      <c r="C11" s="10" t="n"/>
      <c r="D11" s="55" t="n"/>
      <c r="E11" s="93" t="n"/>
      <c r="F11" s="94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8" t="n"/>
      <c r="Q11" s="28" t="n"/>
      <c r="R11" s="27" t="n"/>
      <c r="S11" s="68">
        <f>ROUND(SUM(E11:R11),0)</f>
        <v/>
      </c>
      <c r="T11" s="4" t="n"/>
      <c r="U11" s="4" t="n"/>
      <c r="V11" s="4" t="n"/>
      <c r="W11" s="4" t="n"/>
      <c r="X11" s="4" t="n"/>
      <c r="Y11" s="2" t="n"/>
      <c r="Z11" s="2" t="n"/>
    </row>
    <row r="12" ht="18.95" customHeight="1">
      <c r="A12" s="95" t="inlineStr">
        <is>
          <t>Hind Albloushi</t>
        </is>
      </c>
      <c r="B12" s="92" t="n"/>
      <c r="C12" s="10" t="n"/>
      <c r="D12" s="55" t="n"/>
      <c r="E12" s="93" t="n"/>
      <c r="F12" s="94" t="n"/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8" t="n"/>
      <c r="Q12" s="28" t="n"/>
      <c r="R12" s="27" t="n"/>
      <c r="S12" s="68">
        <f>ROUND(SUM(E12:R12),0)</f>
        <v/>
      </c>
      <c r="T12" s="4" t="n"/>
      <c r="U12" s="4" t="n"/>
      <c r="V12" s="4" t="n"/>
      <c r="W12" s="4" t="n"/>
      <c r="X12" s="4" t="n"/>
      <c r="Y12" s="2" t="n"/>
      <c r="Z12" s="2" t="n"/>
    </row>
    <row r="13" ht="18.95" customHeight="1">
      <c r="A13" s="95" t="inlineStr">
        <is>
          <t>Huda Almheiri</t>
        </is>
      </c>
      <c r="B13" s="92" t="n"/>
      <c r="C13" s="10" t="n"/>
      <c r="D13" s="55" t="n"/>
      <c r="E13" s="93" t="n"/>
      <c r="F13" s="94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8" t="n"/>
      <c r="Q13" s="28" t="n"/>
      <c r="R13" s="27" t="n"/>
      <c r="S13" s="68">
        <f>ROUND(SUM(E13:R13),0)</f>
        <v/>
      </c>
      <c r="T13" s="4" t="n"/>
      <c r="U13" s="4" t="n"/>
      <c r="V13" s="4" t="n"/>
      <c r="W13" s="4" t="n"/>
      <c r="X13" s="4" t="n"/>
      <c r="Y13" s="2" t="n"/>
      <c r="Z13" s="2" t="n"/>
    </row>
    <row r="14" ht="18.95" customHeight="1">
      <c r="A14" s="95" t="inlineStr">
        <is>
          <t>Latifa Humaidan</t>
        </is>
      </c>
      <c r="B14" s="92" t="n"/>
      <c r="C14" s="10" t="n"/>
      <c r="D14" s="55" t="n"/>
      <c r="E14" s="93" t="n"/>
      <c r="F14" s="94" t="n"/>
      <c r="G14" s="27" t="n"/>
      <c r="H14" s="27" t="n"/>
      <c r="I14" s="27" t="n"/>
      <c r="J14" s="27" t="n"/>
      <c r="K14" s="27" t="n"/>
      <c r="L14" s="27" t="n"/>
      <c r="M14" s="27" t="n"/>
      <c r="N14" s="27" t="n"/>
      <c r="O14" s="27" t="n"/>
      <c r="P14" s="28" t="n"/>
      <c r="Q14" s="28" t="n"/>
      <c r="R14" s="27" t="n"/>
      <c r="S14" s="68">
        <f>ROUND(SUM(E14:R14),0)</f>
        <v/>
      </c>
      <c r="T14" s="4" t="n"/>
      <c r="U14" s="4" t="n"/>
      <c r="V14" s="4" t="n"/>
      <c r="W14" s="4" t="n"/>
      <c r="X14" s="4" t="n"/>
      <c r="Y14" s="2" t="n"/>
      <c r="Z14" s="2" t="n"/>
    </row>
    <row r="15" ht="18.95" customHeight="1">
      <c r="A15" s="95" t="inlineStr">
        <is>
          <t>Lily Adam</t>
        </is>
      </c>
      <c r="B15" s="92" t="n"/>
      <c r="C15" s="10" t="n"/>
      <c r="D15" s="55" t="n"/>
      <c r="E15" s="93" t="n"/>
      <c r="F15" s="94" t="n"/>
      <c r="G15" s="27" t="n"/>
      <c r="H15" s="27" t="n"/>
      <c r="I15" s="27" t="n"/>
      <c r="J15" s="27" t="n"/>
      <c r="K15" s="27" t="n"/>
      <c r="L15" s="27" t="n"/>
      <c r="M15" s="27" t="n"/>
      <c r="N15" s="27" t="n"/>
      <c r="O15" s="27" t="n"/>
      <c r="P15" s="28" t="n"/>
      <c r="Q15" s="28" t="n"/>
      <c r="R15" s="27" t="n"/>
      <c r="S15" s="68">
        <f>ROUND(SUM(E15:R15),0)</f>
        <v/>
      </c>
      <c r="T15" s="4" t="n"/>
      <c r="U15" s="4" t="n"/>
      <c r="V15" s="4" t="n"/>
      <c r="W15" s="4" t="n"/>
      <c r="X15" s="4" t="n"/>
      <c r="Y15" s="2" t="n"/>
      <c r="Z15" s="2" t="n"/>
    </row>
    <row r="16" ht="18.95" customHeight="1">
      <c r="A16" s="95" t="inlineStr">
        <is>
          <t>Mahra Alhashmi</t>
        </is>
      </c>
      <c r="B16" s="92" t="n"/>
      <c r="C16" s="10" t="n"/>
      <c r="D16" s="55" t="n"/>
      <c r="E16" s="93" t="n"/>
      <c r="F16" s="94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8" t="n"/>
      <c r="Q16" s="28" t="n"/>
      <c r="R16" s="27" t="n"/>
      <c r="S16" s="68">
        <f>ROUND(SUM(E16:R16),0)</f>
        <v/>
      </c>
      <c r="T16" s="4" t="n"/>
      <c r="U16" s="4" t="n"/>
      <c r="V16" s="4" t="n"/>
      <c r="W16" s="4" t="n"/>
      <c r="X16" s="4" t="n"/>
      <c r="Y16" s="2" t="n"/>
      <c r="Z16" s="2" t="n"/>
    </row>
    <row r="17" ht="18.95" customHeight="1">
      <c r="A17" s="95" t="inlineStr">
        <is>
          <t>Mahra Althabahi</t>
        </is>
      </c>
      <c r="B17" s="92" t="n"/>
      <c r="C17" s="10" t="n"/>
      <c r="D17" s="55" t="n"/>
      <c r="E17" s="93" t="n"/>
      <c r="F17" s="94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8" t="n"/>
      <c r="Q17" s="28" t="n"/>
      <c r="R17" s="27" t="n"/>
      <c r="S17" s="68">
        <f>ROUND(SUM(E17:R17),0)</f>
        <v/>
      </c>
      <c r="T17" s="4" t="n"/>
      <c r="U17" s="4" t="n"/>
      <c r="V17" s="4" t="n"/>
      <c r="W17" s="4" t="n"/>
      <c r="X17" s="4" t="n"/>
      <c r="Y17" s="2" t="n"/>
      <c r="Z17" s="2" t="n"/>
    </row>
    <row r="18" ht="18.95" customHeight="1">
      <c r="A18" s="95" t="inlineStr">
        <is>
          <t>Maryam Alhammadi</t>
        </is>
      </c>
      <c r="B18" s="92" t="n"/>
      <c r="C18" s="10" t="n"/>
      <c r="D18" s="55" t="n"/>
      <c r="E18" s="93" t="n"/>
      <c r="F18" s="94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8" t="n"/>
      <c r="Q18" s="28" t="n"/>
      <c r="R18" s="27" t="n"/>
      <c r="S18" s="68">
        <f>ROUND(SUM(E18:R18),0)</f>
        <v/>
      </c>
      <c r="T18" s="4" t="n"/>
      <c r="U18" s="4" t="n"/>
      <c r="V18" s="4" t="n"/>
      <c r="W18" s="4" t="n"/>
      <c r="X18" s="4" t="n"/>
      <c r="Y18" s="2" t="n"/>
      <c r="Z18" s="2" t="n"/>
    </row>
    <row r="19" ht="18.95" customHeight="1">
      <c r="A19" s="95" t="inlineStr">
        <is>
          <t>Maryam Almarri</t>
        </is>
      </c>
      <c r="B19" s="92" t="n"/>
      <c r="C19" s="10" t="n"/>
      <c r="D19" s="55" t="n"/>
      <c r="E19" s="93" t="n"/>
      <c r="F19" s="94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8" t="n"/>
      <c r="Q19" s="28" t="n"/>
      <c r="R19" s="27" t="n"/>
      <c r="S19" s="68">
        <f>ROUND(SUM(E19:R19),0)</f>
        <v/>
      </c>
      <c r="T19" s="4" t="n"/>
      <c r="U19" s="4" t="n"/>
      <c r="V19" s="4" t="n"/>
      <c r="W19" s="4" t="n"/>
      <c r="X19" s="4" t="n"/>
      <c r="Y19" s="2" t="n"/>
      <c r="Z19" s="2" t="n"/>
    </row>
    <row r="20" ht="18.95" customHeight="1">
      <c r="A20" s="95" t="inlineStr">
        <is>
          <t>Mooza AlShemeili</t>
        </is>
      </c>
      <c r="B20" s="92" t="n"/>
      <c r="C20" s="10" t="n"/>
      <c r="D20" s="55" t="n"/>
      <c r="E20" s="93" t="n"/>
      <c r="F20" s="94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8" t="n"/>
      <c r="Q20" s="28" t="n"/>
      <c r="R20" s="27" t="n"/>
      <c r="S20" s="68">
        <f>ROUND(SUM(E20:R20),0)</f>
        <v/>
      </c>
      <c r="T20" s="4" t="n"/>
      <c r="U20" s="4" t="n"/>
      <c r="V20" s="4" t="n"/>
      <c r="W20" s="4" t="n"/>
      <c r="X20" s="4" t="n"/>
      <c r="Y20" s="2" t="n"/>
      <c r="Z20" s="2" t="n"/>
    </row>
    <row r="21" ht="18.95" customHeight="1">
      <c r="A21" s="95" t="inlineStr">
        <is>
          <t>Moza Alfalasi</t>
        </is>
      </c>
      <c r="B21" s="92" t="n"/>
      <c r="C21" s="10" t="n"/>
      <c r="D21" s="55" t="n"/>
      <c r="E21" s="93" t="n"/>
      <c r="F21" s="94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8" t="n"/>
      <c r="Q21" s="28" t="n"/>
      <c r="R21" s="27" t="n"/>
      <c r="S21" s="68">
        <f>ROUND(SUM(E21:R21),0)</f>
        <v/>
      </c>
      <c r="T21" s="4" t="n"/>
      <c r="U21" s="4" t="n"/>
      <c r="V21" s="4" t="n"/>
      <c r="W21" s="4" t="n"/>
      <c r="X21" s="4" t="n"/>
      <c r="Y21" s="2" t="n"/>
      <c r="Z21" s="2" t="n"/>
    </row>
    <row r="22" ht="18.95" customHeight="1">
      <c r="A22" s="95" t="inlineStr">
        <is>
          <t>Rawan Alawadhi</t>
        </is>
      </c>
      <c r="B22" s="92" t="n"/>
      <c r="C22" s="10" t="n"/>
      <c r="D22" s="55" t="n"/>
      <c r="E22" s="93" t="n"/>
      <c r="F22" s="94" t="n"/>
      <c r="G22" s="27" t="n"/>
      <c r="H22" s="27" t="n"/>
      <c r="I22" s="27" t="n"/>
      <c r="J22" s="27" t="n"/>
      <c r="K22" s="27" t="n"/>
      <c r="L22" s="27" t="n"/>
      <c r="M22" s="27" t="n"/>
      <c r="N22" s="27" t="n"/>
      <c r="O22" s="27" t="n"/>
      <c r="P22" s="28" t="n"/>
      <c r="Q22" s="28" t="n"/>
      <c r="R22" s="27" t="n"/>
      <c r="S22" s="68">
        <f>ROUND(SUM(E22:R22),0)</f>
        <v/>
      </c>
      <c r="T22" s="4" t="n"/>
      <c r="U22" s="4" t="n"/>
      <c r="V22" s="4" t="n"/>
      <c r="W22" s="4" t="n"/>
      <c r="X22" s="4" t="n"/>
      <c r="Y22" s="2" t="n"/>
      <c r="Z22" s="2" t="n"/>
    </row>
    <row r="23" ht="18.95" customHeight="1">
      <c r="A23" s="95" t="inlineStr">
        <is>
          <t>Sara Almarzooqi</t>
        </is>
      </c>
      <c r="B23" s="92" t="n"/>
      <c r="C23" s="10" t="n"/>
      <c r="D23" s="55" t="n"/>
      <c r="E23" s="93" t="n"/>
      <c r="F23" s="94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8" t="n"/>
      <c r="Q23" s="28" t="n"/>
      <c r="R23" s="27" t="n"/>
      <c r="S23" s="68">
        <f>ROUND(SUM(E23:R23),0)</f>
        <v/>
      </c>
      <c r="T23" s="4" t="n"/>
      <c r="U23" s="4" t="n"/>
      <c r="V23" s="4" t="n"/>
      <c r="W23" s="4" t="n"/>
      <c r="X23" s="4" t="n"/>
      <c r="Y23" s="2" t="n"/>
      <c r="Z23" s="2" t="n"/>
    </row>
    <row r="24" ht="18.95" customHeight="1">
      <c r="A24" s="95" t="inlineStr">
        <is>
          <t>Shaikha AlZaabi</t>
        </is>
      </c>
      <c r="B24" s="92" t="n"/>
      <c r="C24" s="10" t="n"/>
      <c r="D24" s="55" t="n"/>
      <c r="E24" s="93" t="n"/>
      <c r="F24" s="94" t="n"/>
      <c r="G24" s="27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28" t="n"/>
      <c r="Q24" s="28" t="n"/>
      <c r="R24" s="27" t="n"/>
      <c r="S24" s="68">
        <f>ROUND(SUM(E24:R24),0)</f>
        <v/>
      </c>
      <c r="T24" s="4" t="n"/>
      <c r="U24" s="4" t="n"/>
      <c r="V24" s="4" t="n"/>
      <c r="W24" s="4" t="n"/>
      <c r="X24" s="4" t="n"/>
      <c r="Y24" s="2" t="n"/>
      <c r="Z24" s="2" t="n"/>
    </row>
    <row r="25" ht="18.95" customHeight="1">
      <c r="A25" s="95" t="inlineStr">
        <is>
          <t>Shaikha Al-Maktoum</t>
        </is>
      </c>
      <c r="B25" s="92" t="n"/>
      <c r="C25" s="10" t="n"/>
      <c r="D25" s="55" t="n"/>
      <c r="E25" s="93" t="n"/>
      <c r="F25" s="94" t="n"/>
      <c r="G25" s="27" t="n"/>
      <c r="H25" s="27" t="n"/>
      <c r="I25" s="27" t="n"/>
      <c r="J25" s="27" t="n"/>
      <c r="K25" s="27" t="n"/>
      <c r="L25" s="27" t="n"/>
      <c r="M25" s="27" t="n"/>
      <c r="N25" s="27" t="n"/>
      <c r="O25" s="27" t="n"/>
      <c r="P25" s="28" t="n"/>
      <c r="Q25" s="28" t="n"/>
      <c r="R25" s="27" t="n"/>
      <c r="S25" s="68">
        <f>ROUND(SUM(E25:R25),0)</f>
        <v/>
      </c>
      <c r="T25" s="4" t="n"/>
      <c r="U25" s="4" t="n"/>
      <c r="V25" s="4" t="n"/>
      <c r="W25" s="4" t="n"/>
      <c r="X25" s="4" t="n"/>
      <c r="Y25" s="2" t="n"/>
      <c r="Z25" s="2" t="n"/>
    </row>
    <row r="26" ht="18.95" customHeight="1">
      <c r="A26" s="95" t="inlineStr">
        <is>
          <t>Shaikha AlMheiri</t>
        </is>
      </c>
      <c r="B26" s="60" t="n"/>
      <c r="C26" s="10" t="n"/>
      <c r="D26" s="55" t="n"/>
      <c r="E26" s="93" t="n"/>
      <c r="F26" s="94" t="n"/>
      <c r="G26" s="27" t="n"/>
      <c r="H26" s="27" t="n"/>
      <c r="I26" s="27" t="n"/>
      <c r="J26" s="27" t="n"/>
      <c r="K26" s="27" t="n"/>
      <c r="L26" s="27" t="n"/>
      <c r="M26" s="27" t="n"/>
      <c r="N26" s="27" t="n"/>
      <c r="O26" s="27" t="n"/>
      <c r="P26" s="28" t="n"/>
      <c r="Q26" s="28" t="n"/>
      <c r="R26" s="27" t="n"/>
      <c r="S26" s="68">
        <f>ROUND(SUM(E26:R26),0)</f>
        <v/>
      </c>
      <c r="T26" s="4" t="n"/>
      <c r="U26" s="4" t="n"/>
      <c r="V26" s="4" t="n"/>
      <c r="W26" s="4" t="n"/>
      <c r="X26" s="4" t="n"/>
      <c r="Y26" s="2" t="n"/>
      <c r="Z26" s="2" t="n"/>
    </row>
    <row r="27" ht="18.95" customHeight="1">
      <c r="A27" s="95" t="inlineStr">
        <is>
          <t>Shama AlMahmood</t>
        </is>
      </c>
      <c r="B27" s="60" t="n"/>
      <c r="C27" s="10" t="n"/>
      <c r="D27" s="55" t="n"/>
      <c r="E27" s="93" t="n"/>
      <c r="F27" s="94" t="n"/>
      <c r="G27" s="27" t="n"/>
      <c r="H27" s="27" t="n"/>
      <c r="I27" s="27" t="n"/>
      <c r="J27" s="27" t="n"/>
      <c r="K27" s="27" t="n"/>
      <c r="L27" s="27" t="n"/>
      <c r="M27" s="27" t="n"/>
      <c r="N27" s="27" t="n"/>
      <c r="O27" s="27" t="n"/>
      <c r="P27" s="28" t="n"/>
      <c r="Q27" s="28" t="n"/>
      <c r="R27" s="27" t="n"/>
      <c r="S27" s="68">
        <f>ROUND(SUM(E27:R27),0)</f>
        <v/>
      </c>
      <c r="T27" s="4" t="n"/>
      <c r="U27" s="4" t="n"/>
      <c r="V27" s="4" t="n"/>
      <c r="W27" s="4" t="n"/>
      <c r="X27" s="4" t="n"/>
      <c r="Y27" s="2" t="n"/>
      <c r="Z27" s="2" t="n"/>
    </row>
    <row r="28" ht="18.95" customHeight="1">
      <c r="A28" s="95" t="n"/>
      <c r="B28" s="60" t="n"/>
      <c r="C28" s="10" t="n"/>
      <c r="D28" s="55" t="n"/>
      <c r="E28" s="93" t="n"/>
      <c r="F28" s="94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8" t="n"/>
      <c r="Q28" s="28" t="n"/>
      <c r="R28" s="27" t="n"/>
      <c r="S28" s="68">
        <f>ROUND(SUM(E28:R28),0)</f>
        <v/>
      </c>
      <c r="T28" s="4" t="n"/>
      <c r="U28" s="4" t="n"/>
      <c r="V28" s="4" t="n"/>
      <c r="W28" s="4" t="n"/>
      <c r="X28" s="4" t="n"/>
      <c r="Y28" s="2" t="n"/>
      <c r="Z28" s="2" t="n"/>
    </row>
    <row r="29" ht="60" customHeight="1">
      <c r="A29" s="95" t="n"/>
      <c r="B29" s="60" t="n"/>
      <c r="C29" s="10" t="n"/>
      <c r="D29" s="55" t="n"/>
      <c r="E29" s="97" t="n"/>
      <c r="F29" s="98" t="n"/>
      <c r="G29" s="99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8" t="n"/>
      <c r="Q29" s="28" t="n"/>
      <c r="R29" s="27" t="n"/>
      <c r="S29" s="68">
        <f>ROUND(SUM(E29:R29),0)</f>
        <v/>
      </c>
      <c r="T29" s="4" t="n"/>
      <c r="U29" s="4" t="n"/>
      <c r="V29" s="4" t="n"/>
      <c r="W29" s="4" t="n"/>
      <c r="X29" s="4" t="n"/>
      <c r="Y29" s="2" t="n"/>
      <c r="Z29" s="2" t="n"/>
    </row>
    <row r="30" ht="18.95" customHeight="1">
      <c r="A30" s="95" t="n"/>
      <c r="B30" s="60" t="n"/>
      <c r="C30" s="10" t="n"/>
      <c r="D30" s="55" t="n"/>
      <c r="E30" s="93" t="n"/>
      <c r="F30" s="94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8" t="n"/>
      <c r="Q30" s="28" t="n"/>
      <c r="R30" s="27" t="n"/>
      <c r="S30" s="68">
        <f>ROUND(SUM(E30:R30),0)</f>
        <v/>
      </c>
      <c r="T30" s="4" t="n"/>
      <c r="U30" s="4" t="n"/>
      <c r="V30" s="4" t="n"/>
      <c r="W30" s="4" t="n"/>
      <c r="X30" s="4" t="n"/>
      <c r="Y30" s="2" t="n"/>
      <c r="Z30" s="2" t="n"/>
    </row>
    <row r="31" ht="18.95" customHeight="1">
      <c r="A31" s="95" t="n"/>
      <c r="B31" s="60" t="n"/>
      <c r="C31" s="10" t="n"/>
      <c r="D31" s="55" t="n"/>
      <c r="E31" s="93" t="n"/>
      <c r="F31" s="94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8" t="n"/>
      <c r="Q31" s="28" t="n"/>
      <c r="R31" s="27" t="n"/>
      <c r="S31" s="68">
        <f>ROUND(SUM(E31:R31),0)</f>
        <v/>
      </c>
      <c r="T31" s="4" t="n"/>
      <c r="U31" s="4" t="n"/>
      <c r="V31" s="4" t="n"/>
      <c r="W31" s="4" t="n"/>
      <c r="X31" s="4" t="n"/>
      <c r="Y31" s="2" t="n"/>
      <c r="Z31" s="2" t="n"/>
    </row>
    <row r="32" ht="18.95" customHeight="1">
      <c r="A32" s="95" t="n"/>
      <c r="B32" s="60" t="n"/>
      <c r="C32" s="10" t="n"/>
      <c r="D32" s="55" t="n"/>
      <c r="E32" s="93" t="n"/>
      <c r="F32" s="94" t="n"/>
      <c r="G32" s="27" t="n"/>
      <c r="H32" s="27" t="n"/>
      <c r="I32" s="27" t="n"/>
      <c r="J32" s="27" t="n"/>
      <c r="K32" s="27" t="n"/>
      <c r="L32" s="27" t="n"/>
      <c r="M32" s="27" t="n"/>
      <c r="N32" s="27" t="n"/>
      <c r="O32" s="27" t="n"/>
      <c r="P32" s="28" t="n"/>
      <c r="Q32" s="28" t="n"/>
      <c r="R32" s="27" t="n"/>
      <c r="S32" s="68">
        <f>ROUND(SUM(E32:R32),0)</f>
        <v/>
      </c>
      <c r="T32" s="4" t="n"/>
      <c r="U32" s="4" t="n"/>
      <c r="V32" s="4" t="n"/>
      <c r="W32" s="4" t="n"/>
      <c r="X32" s="4" t="n"/>
      <c r="Y32" s="2" t="n"/>
      <c r="Z32" s="2" t="n"/>
    </row>
    <row r="33" ht="18.95" customHeight="1">
      <c r="A33" s="95" t="n"/>
      <c r="B33" s="60" t="n"/>
      <c r="C33" s="10" t="n"/>
      <c r="D33" s="55" t="n"/>
      <c r="E33" s="93" t="n"/>
      <c r="F33" s="94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8" t="n"/>
      <c r="Q33" s="28" t="n"/>
      <c r="R33" s="27" t="n"/>
      <c r="S33" s="68">
        <f>ROUND(SUM(E33:R33),0)</f>
        <v/>
      </c>
      <c r="T33" s="4" t="n"/>
      <c r="U33" s="4" t="n"/>
      <c r="V33" s="4" t="n"/>
      <c r="W33" s="4" t="n"/>
      <c r="X33" s="4" t="n"/>
      <c r="Y33" s="2" t="n"/>
      <c r="Z33" s="2" t="n"/>
    </row>
    <row r="34" ht="15.95" customHeight="1">
      <c r="A34" s="71" t="n"/>
      <c r="B34" s="60" t="n"/>
      <c r="C34" s="10" t="n"/>
      <c r="D34" s="55" t="n"/>
      <c r="E34" s="67" t="n"/>
      <c r="F34" s="28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8" t="n"/>
      <c r="Q34" s="28" t="n"/>
      <c r="R34" s="27" t="n"/>
      <c r="S34" s="68">
        <f>ROUND(SUM(E34:R34),0)</f>
        <v/>
      </c>
      <c r="T34" s="4" t="n"/>
      <c r="U34" s="4" t="n"/>
      <c r="V34" s="4" t="n"/>
      <c r="W34" s="4" t="n"/>
      <c r="X34" s="4" t="n"/>
      <c r="Y34" s="2" t="n"/>
      <c r="Z34" s="2" t="n"/>
    </row>
    <row r="35" ht="15.95" customHeight="1">
      <c r="A35" s="71" t="n"/>
      <c r="B35" s="60" t="n"/>
      <c r="C35" s="10" t="n"/>
      <c r="D35" s="55" t="n"/>
      <c r="E35" s="67" t="n"/>
      <c r="F35" s="28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8" t="n"/>
      <c r="Q35" s="28" t="n"/>
      <c r="R35" s="27" t="n"/>
      <c r="S35" s="68">
        <f>ROUND(SUM(E35:R35),0)</f>
        <v/>
      </c>
      <c r="T35" s="4" t="n"/>
      <c r="U35" s="4" t="n"/>
      <c r="V35" s="4" t="n"/>
      <c r="W35" s="4" t="n"/>
      <c r="X35" s="4" t="n"/>
      <c r="Y35" s="2" t="n"/>
      <c r="Z35" s="2" t="n"/>
    </row>
    <row r="36" ht="15.95" customHeight="1">
      <c r="A36" s="71" t="n"/>
      <c r="B36" s="60" t="n"/>
      <c r="C36" s="10" t="n"/>
      <c r="D36" s="55" t="n"/>
      <c r="E36" s="67" t="n"/>
      <c r="F36" s="28" t="n"/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8" t="n"/>
      <c r="Q36" s="28" t="n"/>
      <c r="R36" s="27" t="n"/>
      <c r="S36" s="68">
        <f>ROUND(SUM(E36:R36),0)</f>
        <v/>
      </c>
      <c r="T36" s="4" t="n"/>
      <c r="U36" s="4" t="n"/>
      <c r="V36" s="4" t="n"/>
      <c r="W36" s="4" t="n"/>
      <c r="X36" s="4" t="n"/>
      <c r="Y36" s="2" t="n"/>
      <c r="Z36" s="2" t="n"/>
    </row>
    <row r="37" ht="15.95" customHeight="1">
      <c r="A37" s="71" t="n"/>
      <c r="B37" s="60" t="n"/>
      <c r="C37" s="10" t="n"/>
      <c r="D37" s="55" t="n"/>
      <c r="E37" s="67" t="n"/>
      <c r="F37" s="28" t="n"/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8" t="n"/>
      <c r="Q37" s="28" t="n"/>
      <c r="R37" s="27" t="n"/>
      <c r="S37" s="68">
        <f>ROUND(SUM(E37:R37),0)</f>
        <v/>
      </c>
      <c r="T37" s="4" t="n"/>
      <c r="U37" s="4" t="n"/>
      <c r="V37" s="4" t="n"/>
      <c r="W37" s="4" t="n"/>
      <c r="X37" s="4" t="n"/>
      <c r="Y37" s="2" t="n"/>
      <c r="Z37" s="2" t="n"/>
    </row>
    <row r="38" ht="15" customHeight="1" thickBot="1">
      <c r="A38" s="8" t="n"/>
      <c r="B38" s="7" t="n"/>
      <c r="C38" s="7" t="n"/>
      <c r="D38" s="7" t="n"/>
      <c r="E38" s="29" t="n"/>
      <c r="F38" s="29" t="n"/>
      <c r="G38" s="29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29" t="n"/>
      <c r="R38" s="29" t="n"/>
      <c r="S38" s="9" t="n"/>
      <c r="T38" s="4" t="n"/>
      <c r="U38" s="4" t="n"/>
      <c r="V38" s="4" t="n"/>
      <c r="W38" s="4" t="n"/>
      <c r="X38" s="4" t="n"/>
      <c r="Y38" s="2" t="n"/>
      <c r="Z38" s="2" t="n"/>
    </row>
    <row r="39">
      <c r="A39" s="107" t="inlineStr">
        <is>
          <t>Average Per Standard</t>
        </is>
      </c>
      <c r="B39" s="128" t="n"/>
      <c r="C39" s="128" t="n"/>
      <c r="D39" s="129" t="n"/>
      <c r="E39" s="69">
        <f>SUBTOTAL(1,E6:E37)</f>
        <v/>
      </c>
      <c r="F39" s="30">
        <f>SUBTOTAL(1,F6:F37)</f>
        <v/>
      </c>
      <c r="G39" s="31">
        <f>SUBTOTAL(1,G6:G37)</f>
        <v/>
      </c>
      <c r="H39" s="31">
        <f>SUBTOTAL(1,H6:H37)</f>
        <v/>
      </c>
      <c r="I39" s="31">
        <f>SUBTOTAL(1,I6:I37)</f>
        <v/>
      </c>
      <c r="J39" s="30">
        <f>SUBTOTAL(1,J6:J37)</f>
        <v/>
      </c>
      <c r="K39" s="31">
        <f>SUBTOTAL(1,K6:K37)</f>
        <v/>
      </c>
      <c r="L39" s="31">
        <f>SUBTOTAL(1,L6:L37)</f>
        <v/>
      </c>
      <c r="M39" s="31">
        <f>SUBTOTAL(1,M6:M37)</f>
        <v/>
      </c>
      <c r="N39" s="31">
        <f>SUBTOTAL(1,N6:N37)</f>
        <v/>
      </c>
      <c r="O39" s="31">
        <f>SUBTOTAL(1,O6:O37)</f>
        <v/>
      </c>
      <c r="P39" s="31">
        <f>SUBTOTAL(1,P6:P37)</f>
        <v/>
      </c>
      <c r="Q39" s="31">
        <f>SUBTOTAL(1,Q6:Q37)</f>
        <v/>
      </c>
      <c r="R39" s="30">
        <f>SUBTOTAL(1,R6:R37)</f>
        <v/>
      </c>
      <c r="S39" s="64">
        <f>SUM(SUMIF(E39:R39,{"&lt;0","&gt;0"}))</f>
        <v/>
      </c>
      <c r="T39" s="4" t="n"/>
      <c r="U39" s="4" t="n"/>
      <c r="V39" s="4" t="n"/>
    </row>
    <row r="40">
      <c r="A40" s="110" t="inlineStr">
        <is>
          <t>Total points per Standard</t>
        </is>
      </c>
      <c r="B40" s="130" t="n"/>
      <c r="C40" s="130" t="n"/>
      <c r="D40" s="131" t="n"/>
      <c r="E40" s="70" t="n">
        <v>20</v>
      </c>
      <c r="F40" s="62" t="n">
        <v>30</v>
      </c>
      <c r="G40" s="63" t="n">
        <v>50</v>
      </c>
      <c r="H40" s="63" t="n">
        <v>3</v>
      </c>
      <c r="I40" s="63" t="n"/>
      <c r="J40" s="62" t="n"/>
      <c r="K40" s="63" t="n"/>
      <c r="L40" s="63" t="n"/>
      <c r="M40" s="62" t="n"/>
      <c r="N40" s="62" t="n"/>
      <c r="O40" s="62" t="n"/>
      <c r="P40" s="62" t="n"/>
      <c r="Q40" s="62" t="n"/>
      <c r="R40" s="62" t="n"/>
      <c r="S40" s="65">
        <f>SUM(E40:R40)</f>
        <v/>
      </c>
      <c r="T40" s="4" t="n"/>
      <c r="U40" s="4" t="n"/>
      <c r="V40" s="4" t="n"/>
    </row>
    <row r="41" ht="15" customHeight="1" thickBot="1">
      <c r="A41" s="132" t="inlineStr">
        <is>
          <t>Percentage</t>
        </is>
      </c>
      <c r="B41" s="133" t="n"/>
      <c r="C41" s="133" t="n"/>
      <c r="D41" s="134" t="n"/>
      <c r="E41" s="32">
        <f>ROUND((E39)/E40, 2)</f>
        <v/>
      </c>
      <c r="F41" s="32">
        <f>ROUND((F39)/F40, 2)</f>
        <v/>
      </c>
      <c r="G41" s="32">
        <f>ROUND((G39)/G40, 2)</f>
        <v/>
      </c>
      <c r="H41" s="32">
        <f>ROUND((H39)/H40, 2)</f>
        <v/>
      </c>
      <c r="I41" s="32">
        <f>ROUND((I39)/I40, 2)</f>
        <v/>
      </c>
      <c r="J41" s="32">
        <f>ROUND((J39)/J40, 2)</f>
        <v/>
      </c>
      <c r="K41" s="32">
        <f>ROUND((K39)/K40, 2)</f>
        <v/>
      </c>
      <c r="L41" s="32">
        <f>ROUND((L39)/L40, 2)</f>
        <v/>
      </c>
      <c r="M41" s="32">
        <f>ROUND((M39)/M40, 2)</f>
        <v/>
      </c>
      <c r="N41" s="32">
        <f>ROUND((N39)/N40, 2)</f>
        <v/>
      </c>
      <c r="O41" s="32">
        <f>ROUND((O39)/O40, 2)</f>
        <v/>
      </c>
      <c r="P41" s="32">
        <f>ROUND((P39)/P40, 2)</f>
        <v/>
      </c>
      <c r="Q41" s="32">
        <f>ROUND((Q39)/Q40, 2)</f>
        <v/>
      </c>
      <c r="R41" s="32">
        <f>ROUND((R39)/R40, 2)</f>
        <v/>
      </c>
      <c r="S41" s="66" t="n"/>
      <c r="T41" s="4" t="n"/>
      <c r="U41" s="4" t="n"/>
      <c r="V41" s="4" t="n"/>
      <c r="W41" s="4" t="n"/>
      <c r="X41" s="4" t="n"/>
      <c r="Y41" s="2" t="n"/>
      <c r="Z41" s="2" t="n"/>
    </row>
    <row r="42">
      <c r="E42" s="121" t="n"/>
      <c r="G42" s="122" t="n"/>
      <c r="K42" s="121" t="n"/>
      <c r="L42" s="121" t="n"/>
      <c r="T42" s="3" t="n"/>
      <c r="U42" s="3" t="n"/>
      <c r="V42" s="3" t="n"/>
      <c r="W42" s="3" t="n"/>
      <c r="X42" s="3" t="n"/>
      <c r="Y42" s="2" t="n"/>
      <c r="Z42" s="2" t="n"/>
    </row>
    <row r="43">
      <c r="E43" s="121" t="n"/>
      <c r="G43" s="121" t="n"/>
      <c r="K43" s="121" t="n"/>
      <c r="L43" s="121" t="n"/>
      <c r="T43" s="3" t="n"/>
      <c r="U43" s="3" t="n"/>
      <c r="V43" s="3" t="n"/>
      <c r="W43" s="3" t="n"/>
      <c r="X43" s="3" t="n"/>
      <c r="Y43" s="2" t="n"/>
      <c r="Z43" s="2" t="n"/>
    </row>
    <row r="44">
      <c r="B44" s="20" t="n"/>
      <c r="C44" s="20" t="n"/>
      <c r="D44" s="20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inlineStr">
        <is>
          <t xml:space="preserve">   </t>
        </is>
      </c>
      <c r="X44" s="3" t="n"/>
      <c r="Y44" s="2" t="n"/>
      <c r="Z44" s="2" t="n"/>
    </row>
    <row r="45">
      <c r="B45" s="20" t="n"/>
      <c r="C45" s="20" t="n"/>
      <c r="D45" s="20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</row>
    <row r="46">
      <c r="B46" s="20" t="n"/>
      <c r="C46" s="20" t="n"/>
      <c r="D46" s="20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S46" s="21" t="n"/>
      <c r="T46" s="21" t="n"/>
      <c r="U46" s="22" t="n"/>
      <c r="V46" s="21" t="n"/>
      <c r="W46" s="23" t="n"/>
    </row>
    <row r="47" ht="15.95" customHeight="1">
      <c r="B47" s="20" t="n"/>
      <c r="C47" s="20" t="n"/>
      <c r="D47" s="20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S47" s="24" t="n"/>
      <c r="T47" s="24" t="n"/>
      <c r="U47" s="25" t="n"/>
      <c r="V47" s="114" t="inlineStr">
        <is>
          <t>Internal Attainment Summary</t>
        </is>
      </c>
      <c r="W47" s="130" t="n"/>
      <c r="X47" s="130" t="n"/>
      <c r="Y47" s="131" t="n"/>
      <c r="AB47" s="52" t="n"/>
      <c r="AC47" s="11" t="inlineStr">
        <is>
          <t xml:space="preserve">KHDA Parameters Attainment Summary   </t>
        </is>
      </c>
      <c r="AD47" s="135" t="n"/>
      <c r="AE47" s="136" t="n"/>
    </row>
    <row r="48" ht="15.95" customHeight="1">
      <c r="B48" s="20" t="n"/>
      <c r="C48" s="20" t="n"/>
      <c r="D48" s="20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26" t="n"/>
      <c r="T48" s="26" t="n"/>
      <c r="U48" s="23" t="n"/>
      <c r="V48" s="11" t="inlineStr">
        <is>
          <t xml:space="preserve">Range </t>
        </is>
      </c>
      <c r="W48" s="11" t="inlineStr">
        <is>
          <t>Ranking</t>
        </is>
      </c>
      <c r="X48" s="11" t="inlineStr">
        <is>
          <t xml:space="preserve">Count </t>
        </is>
      </c>
      <c r="Y48" s="11" t="inlineStr">
        <is>
          <t>Percentage</t>
        </is>
      </c>
      <c r="AB48" s="34" t="n"/>
      <c r="AC48" s="11" t="inlineStr">
        <is>
          <t>Range</t>
        </is>
      </c>
      <c r="AD48" s="117" t="inlineStr">
        <is>
          <t xml:space="preserve">Count </t>
        </is>
      </c>
      <c r="AE48" s="11" t="inlineStr">
        <is>
          <t>Percentage</t>
        </is>
      </c>
    </row>
    <row r="49" ht="15.95" customHeight="1">
      <c r="B49" s="20" t="n"/>
      <c r="C49" s="20" t="n"/>
      <c r="D49" s="20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26" t="n"/>
      <c r="T49" s="26" t="n"/>
      <c r="U49" s="23" t="n"/>
      <c r="V49" s="84" t="inlineStr">
        <is>
          <t>1% to 59%</t>
        </is>
      </c>
      <c r="W49" s="48" t="inlineStr">
        <is>
          <t>Unsatisfactory</t>
        </is>
      </c>
      <c r="X49" s="49">
        <f>SUMPRODUCT(SUBTOTAL(3,OFFSET(S6:S37,ROW(S6:S37)-MIN(ROW(S6:S37)),,1)),--(S6:S37&gt;0),--(S6:S37&lt;=59))</f>
        <v/>
      </c>
      <c r="Y49" s="50">
        <f>X49/X53</f>
        <v/>
      </c>
      <c r="AB49" s="85" t="n"/>
      <c r="AC49" s="78" t="inlineStr">
        <is>
          <t>At or Above 67%</t>
        </is>
      </c>
      <c r="AD49" s="86">
        <f t="array" ref="AD49">SUMPRODUCT(SUBTOTAL(3,OFFSET(S6:S37,ROW(S6:S37)-MIN(ROW(S6:S37)),,1)),--(S6:S37&gt;=67),--(S6:S37&lt;=100))</f>
        <v/>
      </c>
      <c r="AE49" s="87">
        <f>AD49/AD51</f>
        <v/>
      </c>
      <c r="AG49" s="34" t="n"/>
      <c r="AH49" s="34" t="n"/>
      <c r="AI49" s="34" t="n"/>
      <c r="AJ49" s="34" t="n"/>
    </row>
    <row r="50" ht="15.95" customHeight="1">
      <c r="B50" s="20" t="n"/>
      <c r="C50" s="20" t="n"/>
      <c r="D50" s="20" t="n"/>
      <c r="E50" s="5" t="n"/>
      <c r="F50" s="3" t="n"/>
      <c r="G50" s="3" t="n"/>
      <c r="H50" s="3" t="n"/>
      <c r="I50" s="3" t="n"/>
      <c r="J50" s="3" t="n"/>
      <c r="K50" s="3" t="n"/>
      <c r="S50" s="23" t="n"/>
      <c r="T50" s="26" t="n"/>
      <c r="U50" s="23" t="n"/>
      <c r="V50" s="78" t="inlineStr">
        <is>
          <t>60% to 79%</t>
        </is>
      </c>
      <c r="W50" s="45" t="inlineStr">
        <is>
          <t xml:space="preserve">Acceptable </t>
        </is>
      </c>
      <c r="X50" s="46">
        <f>SUMPRODUCT(SUBTOTAL(3,OFFSET(S6:S37,ROW(S6:S37)-MIN(ROW(S6:S37)),,1)),--(S6:S37&gt;=60),--(S6:S37&lt;=79))</f>
        <v/>
      </c>
      <c r="Y50" s="47">
        <f>X50/X53</f>
        <v/>
      </c>
      <c r="AB50" s="85" t="n"/>
      <c r="AC50" s="79" t="inlineStr">
        <is>
          <t>At or Above 77%</t>
        </is>
      </c>
      <c r="AD50" s="88">
        <f t="array" ref="AD50">SUMPRODUCT(SUBTOTAL(3,OFFSET(S6:S37,ROW(S6:S37)-MIN(ROW(S6:S37)),,1)),--(S6:S37&gt;=77),--(S6:S37&lt;=100))</f>
        <v/>
      </c>
      <c r="AE50" s="89">
        <f>AD50/AD51</f>
        <v/>
      </c>
      <c r="AG50" s="85" t="n"/>
      <c r="AH50" s="35" t="n"/>
      <c r="AI50" s="36" t="n"/>
      <c r="AJ50" s="37" t="n"/>
    </row>
    <row r="51" ht="15.95" customHeight="1">
      <c r="B51" s="20" t="n"/>
      <c r="C51" s="20" t="n"/>
      <c r="D51" s="20" t="n"/>
      <c r="E51" s="5" t="n"/>
      <c r="F51" s="3" t="n"/>
      <c r="G51" s="3" t="n"/>
      <c r="H51" s="3" t="n"/>
      <c r="I51" s="3" t="n"/>
      <c r="J51" s="3" t="n"/>
      <c r="K51" s="3" t="n"/>
      <c r="T51" s="3" t="n"/>
      <c r="V51" s="79" t="inlineStr">
        <is>
          <t>80% to 90%</t>
        </is>
      </c>
      <c r="W51" s="39" t="inlineStr">
        <is>
          <t>Good/Very Good</t>
        </is>
      </c>
      <c r="X51" s="40">
        <f>SUMPRODUCT(SUBTOTAL(3,OFFSET(S6:S37,ROW(S6:S37)-MIN(ROW(S6:S37)),,1)),--(S6:S37&gt;=80),--(S6:S37&lt;=90))</f>
        <v/>
      </c>
      <c r="Y51" s="41">
        <f>X51/X53</f>
        <v/>
      </c>
      <c r="AC51" s="13" t="inlineStr">
        <is>
          <t xml:space="preserve">Total </t>
        </is>
      </c>
      <c r="AD51" s="53">
        <f>SUMPRODUCT(SUBTOTAL(3,OFFSET(S6:S37,ROW(S6:S37)-MIN(ROW(S6:S37)),,1)),--(S6:S37&gt;0),--(S6:S37&lt;=100))</f>
        <v/>
      </c>
      <c r="AE51" s="13" t="n"/>
      <c r="AG51" s="85" t="n"/>
      <c r="AH51" s="35" t="n"/>
      <c r="AI51" s="36" t="n"/>
      <c r="AJ51" s="37" t="n"/>
    </row>
    <row r="52" ht="15.95" customHeight="1">
      <c r="B52" s="20" t="n"/>
      <c r="C52" s="20" t="n"/>
      <c r="I52" s="3" t="n"/>
      <c r="J52" s="3" t="n"/>
      <c r="K52" s="3" t="n"/>
      <c r="T52" s="3" t="n"/>
      <c r="V52" s="90" t="inlineStr">
        <is>
          <t>91% to 100%</t>
        </is>
      </c>
      <c r="W52" s="42" t="inlineStr">
        <is>
          <t>Outstanding</t>
        </is>
      </c>
      <c r="X52" s="43">
        <f>SUMPRODUCT(SUBTOTAL(3,OFFSET(S6:S37,ROW(S6:S37)-MIN(ROW(S6:S37)),,1)),--(S6:S37&gt;=91),--(S6:S37&lt;=100))</f>
        <v/>
      </c>
      <c r="Y52" s="44">
        <f>X52/X53</f>
        <v/>
      </c>
      <c r="AG52" s="85" t="n"/>
      <c r="AH52" s="35" t="n"/>
      <c r="AI52" s="36" t="n"/>
      <c r="AJ52" s="37" t="n"/>
    </row>
    <row r="53" ht="15.95" customHeight="1">
      <c r="B53" s="20" t="n"/>
      <c r="C53" s="20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V53" s="38" t="n"/>
      <c r="W53" s="13" t="inlineStr">
        <is>
          <t xml:space="preserve">Total </t>
        </is>
      </c>
      <c r="X53" s="12">
        <f>SUMPRODUCT(SUBTOTAL(3,OFFSET(S6:S37,ROW(S6:S37)-MIN(ROW(S6:S37)),,1)),--(S6:S37&gt;0),--(S6:S37&lt;=100))</f>
        <v/>
      </c>
      <c r="Y53" s="13">
        <f>SUM(Y49:Y52)</f>
        <v/>
      </c>
      <c r="AG53" s="85" t="n"/>
      <c r="AH53" s="35" t="n"/>
      <c r="AI53" s="36" t="n"/>
      <c r="AJ53" s="37" t="n"/>
    </row>
    <row r="54" ht="15" customHeight="1">
      <c r="A54" s="1" t="n"/>
      <c r="B54" s="20" t="n"/>
      <c r="C54" s="20" t="n"/>
      <c r="D54" s="20" t="n"/>
      <c r="E54" s="5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AG54" s="38" t="n"/>
      <c r="AH54" s="37" t="n"/>
      <c r="AI54" s="36" t="n"/>
      <c r="AJ54" s="37" t="n"/>
    </row>
    <row r="55">
      <c r="A55" s="1" t="n"/>
      <c r="B55" s="20" t="n"/>
      <c r="C55" s="20" t="n"/>
      <c r="D55" s="20" t="n"/>
      <c r="E55" s="5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</row>
    <row r="56">
      <c r="A56" s="1" t="n"/>
      <c r="B56" s="20" t="n"/>
      <c r="C56" s="20" t="n"/>
      <c r="D56" s="20" t="n"/>
      <c r="E56" s="5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</row>
    <row r="57">
      <c r="A57" s="1" t="n"/>
      <c r="B57" s="20" t="n"/>
      <c r="C57" s="20" t="n"/>
      <c r="D57" s="20" t="n"/>
      <c r="E57" s="5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</row>
    <row r="58">
      <c r="A58" s="1" t="n"/>
      <c r="B58" s="20" t="n"/>
      <c r="C58" s="20" t="n"/>
      <c r="D58" s="20" t="n"/>
      <c r="E58" s="5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</row>
    <row r="59">
      <c r="A59" s="1" t="n"/>
      <c r="B59" s="20" t="n"/>
      <c r="C59" s="20" t="n"/>
      <c r="D59" s="20" t="n"/>
      <c r="E59" s="6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</row>
    <row r="60">
      <c r="A60" s="1" t="n"/>
      <c r="B60" s="20" t="n"/>
      <c r="C60" s="20" t="n"/>
      <c r="D60" s="20" t="n"/>
      <c r="E60" s="5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</row>
    <row r="61">
      <c r="A61" s="1" t="n"/>
      <c r="B61" s="20" t="n"/>
      <c r="C61" s="20" t="n"/>
      <c r="D61" s="20" t="n"/>
      <c r="E61" s="5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</row>
    <row r="62">
      <c r="A62" s="1" t="n"/>
      <c r="B62" s="20" t="n"/>
      <c r="C62" s="20" t="n"/>
      <c r="D62" s="20" t="n"/>
      <c r="E62" s="5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</row>
    <row r="63">
      <c r="A63" s="1" t="n"/>
      <c r="B63" s="20" t="n"/>
      <c r="C63" s="20" t="n"/>
      <c r="D63" s="20" t="n"/>
      <c r="E63" s="6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</row>
    <row r="64">
      <c r="A64" s="1" t="n"/>
      <c r="B64" s="20" t="n"/>
      <c r="C64" s="20" t="n"/>
      <c r="D64" s="20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</row>
    <row r="65">
      <c r="A65" s="1" t="n"/>
      <c r="B65" s="20" t="n"/>
      <c r="C65" s="20" t="n"/>
      <c r="D65" s="20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</row>
    <row r="66">
      <c r="A66" s="1" t="n"/>
      <c r="B66" s="20" t="n"/>
      <c r="C66" s="20" t="n"/>
      <c r="D66" s="20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</row>
    <row r="67">
      <c r="A67" s="1" t="n"/>
      <c r="B67" s="20" t="n"/>
      <c r="C67" s="20" t="n"/>
      <c r="D67" s="20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</row>
    <row r="68">
      <c r="A68" s="1" t="n"/>
      <c r="B68" s="20" t="n"/>
      <c r="C68" s="20" t="n"/>
      <c r="D68" s="20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</row>
    <row r="69">
      <c r="A69" s="1" t="n"/>
      <c r="B69" s="20" t="n"/>
      <c r="C69" s="20" t="n"/>
      <c r="D69" s="20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</row>
    <row r="70">
      <c r="A70" s="1" t="n"/>
      <c r="B70" s="20" t="n"/>
      <c r="C70" s="20" t="n"/>
      <c r="D70" s="20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</row>
    <row r="71">
      <c r="A71" s="1" t="n"/>
      <c r="B71" s="20" t="n"/>
      <c r="C71" s="20" t="n"/>
      <c r="D71" s="20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</row>
    <row r="72">
      <c r="A72" s="1" t="n"/>
      <c r="B72" s="20" t="n"/>
      <c r="C72" s="20" t="n"/>
      <c r="D72" s="20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</row>
    <row r="73">
      <c r="A73" s="1" t="n"/>
      <c r="B73" s="20" t="n"/>
      <c r="C73" s="20" t="n"/>
      <c r="D73" s="20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</row>
    <row r="74">
      <c r="A74" s="1" t="n"/>
      <c r="B74" s="20" t="n"/>
      <c r="C74" s="20" t="n"/>
      <c r="D74" s="20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</row>
    <row r="75">
      <c r="A75" s="1" t="n"/>
      <c r="B75" s="20" t="n"/>
      <c r="C75" s="20" t="n"/>
      <c r="D75" s="20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</row>
    <row r="76">
      <c r="A76" s="1" t="n"/>
      <c r="B76" s="20" t="n"/>
      <c r="C76" s="20" t="n"/>
      <c r="D76" s="20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</row>
    <row r="77">
      <c r="A77" s="1" t="n"/>
      <c r="B77" s="20" t="n"/>
      <c r="C77" s="20" t="n"/>
      <c r="D77" s="20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</row>
    <row r="78">
      <c r="A78" s="1" t="n"/>
      <c r="B78" s="20" t="n"/>
      <c r="C78" s="20" t="n"/>
      <c r="D78" s="20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</row>
    <row r="79">
      <c r="A79" s="1" t="n"/>
      <c r="B79" s="20" t="n"/>
      <c r="C79" s="20" t="n"/>
      <c r="D79" s="20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</row>
    <row r="80">
      <c r="A80" s="1" t="n"/>
      <c r="B80" s="20" t="n"/>
      <c r="C80" s="20" t="n"/>
      <c r="D80" s="20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</row>
    <row r="81">
      <c r="A81" s="1" t="n"/>
      <c r="B81" s="20" t="n"/>
      <c r="C81" s="20" t="n"/>
      <c r="D81" s="20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</row>
    <row r="82">
      <c r="A82" s="1" t="n"/>
      <c r="B82" s="20" t="n"/>
      <c r="C82" s="20" t="n"/>
      <c r="D82" s="20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</row>
    <row r="83">
      <c r="A83" s="1" t="n"/>
      <c r="B83" s="20" t="n"/>
      <c r="C83" s="20" t="n"/>
      <c r="D83" s="20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</row>
    <row r="84">
      <c r="A84" s="1" t="n"/>
      <c r="B84" s="20" t="n"/>
      <c r="C84" s="20" t="n"/>
      <c r="D84" s="20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</row>
    <row r="85">
      <c r="A85" s="1" t="n"/>
      <c r="B85" s="20" t="n"/>
      <c r="C85" s="20" t="n"/>
      <c r="D85" s="20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</row>
    <row r="86">
      <c r="A86" s="1" t="n"/>
      <c r="B86" s="20" t="n"/>
      <c r="C86" s="20" t="n"/>
      <c r="D86" s="20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</row>
    <row r="87">
      <c r="A87" s="1" t="n"/>
      <c r="B87" s="20" t="n"/>
      <c r="C87" s="20" t="n"/>
      <c r="D87" s="20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</row>
    <row r="88">
      <c r="A88" s="1" t="n"/>
      <c r="B88" s="20" t="n"/>
      <c r="C88" s="20" t="n"/>
      <c r="D88" s="20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</row>
    <row r="89">
      <c r="A89" s="1" t="n"/>
      <c r="B89" s="20" t="n"/>
      <c r="C89" s="20" t="n"/>
      <c r="D89" s="20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</row>
    <row r="90">
      <c r="A90" s="1" t="n"/>
      <c r="B90" s="20" t="n"/>
      <c r="C90" s="20" t="n"/>
      <c r="D90" s="20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</row>
    <row r="91">
      <c r="A91" s="1" t="n"/>
      <c r="B91" s="20" t="n"/>
      <c r="C91" s="20" t="n"/>
      <c r="D91" s="20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</row>
    <row r="92">
      <c r="A92" s="1" t="n"/>
      <c r="B92" s="20" t="n"/>
      <c r="C92" s="20" t="n"/>
      <c r="D92" s="20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</row>
    <row r="93">
      <c r="A93" s="1" t="n"/>
      <c r="B93" s="20" t="n"/>
      <c r="C93" s="20" t="n"/>
      <c r="D93" s="20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</row>
    <row r="94">
      <c r="A94" s="1" t="n"/>
      <c r="B94" s="20" t="n"/>
      <c r="C94" s="20" t="n"/>
      <c r="D94" s="20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</row>
    <row r="95">
      <c r="A95" s="1" t="n"/>
    </row>
    <row r="96">
      <c r="A96" s="1" t="n"/>
    </row>
    <row r="97">
      <c r="A97" s="1" t="n"/>
    </row>
    <row r="98">
      <c r="A98" s="1" t="n"/>
    </row>
    <row r="99">
      <c r="A99" s="1" t="n"/>
    </row>
    <row r="100">
      <c r="A100" s="1" t="n"/>
    </row>
    <row r="101">
      <c r="A101" s="1" t="n"/>
    </row>
    <row r="102">
      <c r="A102" s="1" t="n"/>
      <c r="B102" s="1" t="n"/>
      <c r="C102" s="1" t="n"/>
      <c r="D102" s="1" t="n"/>
    </row>
    <row r="103">
      <c r="A103" s="1" t="n"/>
      <c r="B103" s="1" t="n"/>
      <c r="C103" s="1" t="n"/>
      <c r="D103" s="1" t="n"/>
    </row>
    <row r="104">
      <c r="A104" s="1" t="n"/>
      <c r="B104" s="1" t="n"/>
      <c r="C104" s="1" t="n"/>
      <c r="D104" s="1" t="n"/>
    </row>
    <row r="105">
      <c r="A105" s="1" t="n"/>
      <c r="B105" s="1" t="n"/>
      <c r="C105" s="1" t="n"/>
      <c r="D105" s="1" t="n"/>
    </row>
    <row r="106">
      <c r="A106" s="1" t="n"/>
      <c r="B106" s="1" t="n"/>
      <c r="C106" s="1" t="n"/>
      <c r="D106" s="1" t="n"/>
    </row>
    <row r="107">
      <c r="A107" s="1" t="n"/>
      <c r="B107" s="1" t="n"/>
      <c r="C107" s="1" t="n"/>
      <c r="D107" s="1" t="n"/>
    </row>
    <row r="108">
      <c r="A108" s="1" t="n"/>
      <c r="B108" s="1" t="n"/>
      <c r="C108" s="1" t="n"/>
      <c r="D108" s="1" t="n"/>
    </row>
    <row r="109">
      <c r="A109" s="1" t="n"/>
      <c r="B109" s="1" t="n"/>
      <c r="C109" s="1" t="n"/>
      <c r="D109" s="1" t="n"/>
    </row>
    <row r="110">
      <c r="A110" s="1" t="n"/>
      <c r="B110" s="1" t="n"/>
      <c r="C110" s="1" t="n"/>
      <c r="D110" s="1" t="n"/>
    </row>
    <row r="111">
      <c r="A111" s="1" t="n"/>
      <c r="B111" s="1" t="n"/>
      <c r="C111" s="1" t="n"/>
      <c r="D111" s="1" t="n"/>
    </row>
    <row r="112">
      <c r="A112" s="1" t="n"/>
      <c r="B112" s="1" t="n"/>
      <c r="C112" s="1" t="n"/>
      <c r="D112" s="1" t="n"/>
    </row>
    <row r="113" customFormat="1" s="1"/>
    <row r="114" customFormat="1" s="1"/>
    <row r="115" customFormat="1" s="1"/>
    <row r="116" customFormat="1" s="1"/>
    <row r="117" customFormat="1" s="1"/>
    <row r="118" customFormat="1" s="1"/>
    <row r="119" customFormat="1" s="1"/>
    <row r="120" customFormat="1" s="1"/>
    <row r="121" customFormat="1" s="1"/>
    <row r="122" customFormat="1" s="1"/>
    <row r="123" customFormat="1" s="1"/>
    <row r="124" customFormat="1" s="1"/>
    <row r="125" customFormat="1" s="1"/>
    <row r="126" customFormat="1" s="1"/>
    <row r="127" customFormat="1" s="1"/>
    <row r="128" customFormat="1" s="1"/>
    <row r="129" customFormat="1" s="1"/>
    <row r="130" customFormat="1" s="1"/>
    <row r="131" customFormat="1" s="1"/>
    <row r="132" customFormat="1" s="1"/>
    <row r="133" customFormat="1" s="1"/>
    <row r="134" customFormat="1" s="1"/>
    <row r="135" customFormat="1" s="1"/>
    <row r="136" customFormat="1" s="1"/>
    <row r="137" customFormat="1" s="1"/>
    <row r="138" customFormat="1" s="1"/>
    <row r="139" customFormat="1" s="1"/>
    <row r="140" customFormat="1" s="1"/>
    <row r="141" customFormat="1" s="1"/>
    <row r="142" customFormat="1" s="1"/>
    <row r="143" customFormat="1" s="1"/>
    <row r="144" customFormat="1" s="1"/>
    <row r="145" customFormat="1" s="1"/>
    <row r="146" customFormat="1" s="1"/>
    <row r="147" customFormat="1" s="1"/>
    <row r="148" customFormat="1" s="1"/>
    <row r="149" customFormat="1" s="1"/>
    <row r="150" customFormat="1" s="1"/>
    <row r="151" customFormat="1" s="1"/>
    <row r="152" customFormat="1" s="1"/>
    <row r="153" customFormat="1" s="1"/>
    <row r="154" customFormat="1" s="1"/>
    <row r="155" customFormat="1" s="1"/>
    <row r="156" customFormat="1" s="1"/>
    <row r="157" customFormat="1" s="1"/>
    <row r="158" customFormat="1" s="1"/>
    <row r="159" customFormat="1" s="1"/>
    <row r="160" customFormat="1" s="1"/>
    <row r="161" customFormat="1" s="1"/>
    <row r="162" customFormat="1" s="1"/>
    <row r="163" customFormat="1" s="1"/>
    <row r="164" customFormat="1" s="1"/>
    <row r="165" customFormat="1" s="1"/>
    <row r="166" customFormat="1" s="1"/>
    <row r="167" customFormat="1" s="1"/>
    <row r="168" customFormat="1" s="1"/>
    <row r="169" customFormat="1" s="1"/>
    <row r="170" customFormat="1" s="1"/>
    <row r="171" customFormat="1" s="1"/>
    <row r="172" customFormat="1" s="1"/>
    <row r="173" customFormat="1" s="1"/>
    <row r="174" customFormat="1" s="1"/>
    <row r="175" customFormat="1" s="1"/>
    <row r="176" customFormat="1" s="1"/>
    <row r="177" customFormat="1" s="1"/>
    <row r="178" customFormat="1" s="1"/>
    <row r="179" customFormat="1" s="1"/>
    <row r="180" customFormat="1" s="1"/>
  </sheetData>
  <autoFilter ref="B5:D5"/>
  <mergeCells count="15">
    <mergeCell ref="E43:F43"/>
    <mergeCell ref="A1:D1"/>
    <mergeCell ref="A40:D40"/>
    <mergeCell ref="V47:Y47"/>
    <mergeCell ref="G43:J43"/>
    <mergeCell ref="A39:D39"/>
    <mergeCell ref="E1:I1"/>
    <mergeCell ref="E42:F42"/>
    <mergeCell ref="AC47:AE47"/>
    <mergeCell ref="L43:R43"/>
    <mergeCell ref="A41:D41"/>
    <mergeCell ref="E5:S5"/>
    <mergeCell ref="A4:C4"/>
    <mergeCell ref="L42:R42"/>
    <mergeCell ref="G42:J42"/>
  </mergeCells>
  <conditionalFormatting sqref="E6:E37">
    <cfRule type="cellIs" priority="154" operator="lessThan" dxfId="1">
      <formula>$E$40*0.6</formula>
    </cfRule>
  </conditionalFormatting>
  <conditionalFormatting sqref="E6:G22 E22:F33">
    <cfRule type="expression" priority="26" dxfId="5">
      <formula>ISBLANK(E6:R21)</formula>
    </cfRule>
  </conditionalFormatting>
  <conditionalFormatting sqref="E6:J19">
    <cfRule type="expression" priority="188" dxfId="5">
      <formula>ISBLANK(E6:R37)</formula>
    </cfRule>
  </conditionalFormatting>
  <conditionalFormatting sqref="E20:M37">
    <cfRule type="expression" priority="70" dxfId="5">
      <formula>ISBLANK(E20:R35)</formula>
    </cfRule>
  </conditionalFormatting>
  <conditionalFormatting sqref="F6:F37">
    <cfRule type="cellIs" priority="156" operator="lessThan" dxfId="1">
      <formula>$F$40*0.6</formula>
    </cfRule>
  </conditionalFormatting>
  <conditionalFormatting sqref="G6:G37">
    <cfRule type="cellIs" priority="158" operator="lessThan" dxfId="1">
      <formula>$G$40*0.6</formula>
    </cfRule>
  </conditionalFormatting>
  <conditionalFormatting sqref="H6:H21">
    <cfRule type="expression" priority="20" dxfId="5">
      <formula>ISBLANK(H6:U21)</formula>
    </cfRule>
  </conditionalFormatting>
  <conditionalFormatting sqref="H6:H37">
    <cfRule type="cellIs" priority="160" operator="lessThan" dxfId="1">
      <formula>$H$40*0.6</formula>
    </cfRule>
  </conditionalFormatting>
  <conditionalFormatting sqref="I6:I22">
    <cfRule type="expression" priority="14" dxfId="5">
      <formula>ISBLANK(I6:V21)</formula>
    </cfRule>
  </conditionalFormatting>
  <conditionalFormatting sqref="I6:I37">
    <cfRule type="cellIs" priority="162" operator="lessThan" dxfId="1">
      <formula>$I$40*0.6</formula>
    </cfRule>
  </conditionalFormatting>
  <conditionalFormatting sqref="J6:J37">
    <cfRule type="cellIs" priority="164" operator="lessThan" dxfId="1">
      <formula>$J$40*0.6</formula>
    </cfRule>
  </conditionalFormatting>
  <conditionalFormatting sqref="J6:M21">
    <cfRule type="expression" priority="2" dxfId="5">
      <formula>ISBLANK(J6:W21)</formula>
    </cfRule>
  </conditionalFormatting>
  <conditionalFormatting sqref="K6:K37">
    <cfRule type="cellIs" priority="138" operator="lessThan" dxfId="1">
      <formula>$K$40*0.6</formula>
    </cfRule>
  </conditionalFormatting>
  <conditionalFormatting sqref="K6:R7 K8:M19 N8:R37">
    <cfRule type="expression" priority="187" dxfId="5">
      <formula>ISBLANK(K6:X37)</formula>
    </cfRule>
  </conditionalFormatting>
  <conditionalFormatting sqref="L6:L37">
    <cfRule type="cellIs" priority="140" operator="lessThan" dxfId="1">
      <formula>$L$40*0.6</formula>
    </cfRule>
  </conditionalFormatting>
  <conditionalFormatting sqref="M6:M37">
    <cfRule type="cellIs" priority="142" operator="lessThan" dxfId="1">
      <formula>$M$40*0.6</formula>
    </cfRule>
  </conditionalFormatting>
  <conditionalFormatting sqref="N6:N37">
    <cfRule type="cellIs" priority="144" operator="lessThan" dxfId="1">
      <formula>$N$40*0.6</formula>
    </cfRule>
  </conditionalFormatting>
  <conditionalFormatting sqref="N6:R37">
    <cfRule type="expression" priority="48" dxfId="5">
      <formula>ISBLANK(N6:AA21)</formula>
    </cfRule>
  </conditionalFormatting>
  <conditionalFormatting sqref="O6:O37">
    <cfRule type="cellIs" priority="146" operator="lessThan" dxfId="1">
      <formula>$O$40*0.6</formula>
    </cfRule>
  </conditionalFormatting>
  <conditionalFormatting sqref="P6:P37">
    <cfRule type="cellIs" priority="148" operator="lessThan" dxfId="1">
      <formula>$P$40*0.6</formula>
    </cfRule>
  </conditionalFormatting>
  <conditionalFormatting sqref="Q6:Q37">
    <cfRule type="cellIs" priority="150" operator="lessThan" dxfId="1">
      <formula>$Q$40*0.6</formula>
    </cfRule>
  </conditionalFormatting>
  <conditionalFormatting sqref="R6:R37">
    <cfRule type="cellIs" priority="152" operator="lessThan" dxfId="1">
      <formula>$R$40*0.6</formula>
    </cfRule>
  </conditionalFormatting>
  <conditionalFormatting sqref="S6:S38">
    <cfRule type="cellIs" priority="1" operator="between" dxfId="0">
      <formula>1</formula>
      <formula>59</formula>
    </cfRule>
  </conditionalFormatting>
  <pageMargins left="0.7" right="0.7" top="0.75" bottom="0.75" header="0.3" footer="0.3"/>
  <pageSetup orientation="portrait" paperSize="9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2026-06-05T07:37:39Z</dcterms:modified>
</cp:coreProperties>
</file>